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Periodos" sheetId="2" state="visible" r:id="rId2"/>
    <sheet name="Erosion_por_corte" sheetId="3" state="visible" r:id="rId3"/>
    <sheet name="Metodo_volumen" sheetId="4" state="visible" r:id="rId4"/>
    <sheet name="Nivel_la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1F4E79"/>
      <sz val="11"/>
    </font>
    <font>
      <i val="1"/>
      <color rgb="00C00000"/>
      <sz val="9"/>
    </font>
    <font>
      <b val="1"/>
      <color rgb="00FFFFFF"/>
      <sz val="10"/>
    </font>
    <font>
      <b val="1"/>
    </font>
    <font>
      <i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5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Tasa de erosión por período (m³/año)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'Periodos'!I4</f>
            </strRef>
          </tx>
          <spPr>
            <a:ln>
              <a:prstDash val="solid"/>
            </a:ln>
          </spPr>
          <cat>
            <numRef>
              <f>'Periodos'!$B$5:$B$15</f>
            </numRef>
          </cat>
          <val>
            <numRef>
              <f>'Periodos'!$I$5:$I$15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m³/año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Volumen acumulado (m³)</a:t>
            </a:r>
          </a:p>
        </rich>
      </tx>
    </title>
    <plotArea>
      <lineChart>
        <grouping val="standard"/>
        <ser>
          <idx val="0"/>
          <order val="0"/>
          <tx>
            <strRef>
              <f>'Periodos'!J4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'Periodos'!$B$5:$B$15</f>
            </numRef>
          </cat>
          <val>
            <numRef>
              <f>'Periodos'!$J$5:$J$15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23</row>
      <rowOff>0</rowOff>
    </from>
    <ext cx="86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4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2">
      <c r="B2" s="1" t="inlineStr">
        <is>
          <t>Río Negro — Comparación de la erosión entre períodos (2009–2018)</t>
        </is>
      </c>
    </row>
    <row r="4">
      <c r="B4" t="inlineStr"/>
    </row>
    <row r="5">
      <c r="B5" s="2" t="inlineStr">
        <is>
          <t>DE DÓNDE SALEN ESTOS DATOS</t>
        </is>
      </c>
    </row>
    <row r="6">
      <c r="B6" t="inlineStr">
        <is>
          <t>De la leyenda del plano de 2018, que está en el paperspace del DWG (Layout1) y no en</t>
        </is>
      </c>
    </row>
    <row r="7">
      <c r="B7" t="inlineStr">
        <is>
          <t>el modelo. Ahí el levantamiento declara, para cada uno de los 11 períodos, el color con</t>
        </is>
      </c>
    </row>
    <row r="8">
      <c r="B8" t="inlineStr">
        <is>
          <t>que se dibujó, la superficie afectada en hectáreas y el volumen erosionado en m³.</t>
        </is>
      </c>
    </row>
    <row r="9">
      <c r="B9" t="inlineStr">
        <is>
          <t>El perfil de referencia es la 'SECCION ORIGINAL RIO SEGUN TOPOGRAFIA MARZO 2009'.</t>
        </is>
      </c>
    </row>
    <row r="10">
      <c r="B10" t="inlineStr">
        <is>
          <t>Plano: 'PERFILES TRANSVERSALES Y SUPERFICIES', lámina 2 de 2, 23-11-2018, COLBÚN S.A.</t>
        </is>
      </c>
    </row>
    <row r="11">
      <c r="B11" t="inlineStr"/>
    </row>
    <row r="12">
      <c r="B12" s="2" t="inlineStr">
        <is>
          <t>LA ESCALA DEL PLANO CONFIRMA LA EXAGERACIÓN VERTICAL</t>
        </is>
      </c>
    </row>
    <row r="13">
      <c r="B13" t="inlineStr">
        <is>
          <t>El rótulo dice 'Esc Vert 1/300, Hrz 1/3000'. La razón 3000/300 = 10 es exactamente la</t>
        </is>
      </c>
    </row>
    <row r="14">
      <c r="B14" t="inlineStr">
        <is>
          <t>exageración vertical ×10 que se había deducido midiendo el dibujo. Queda confirmada por</t>
        </is>
      </c>
    </row>
    <row r="15">
      <c r="B15" t="inlineStr">
        <is>
          <t>dos vías independientes.</t>
        </is>
      </c>
    </row>
    <row r="16">
      <c r="B16" t="inlineStr"/>
    </row>
    <row r="17">
      <c r="B17" s="2" t="inlineStr">
        <is>
          <t>QUÉ TIPO DE EROSIÓN ES</t>
        </is>
      </c>
    </row>
    <row r="18">
      <c r="B18" t="inlineStr">
        <is>
          <t>Es erosión LATERAL de las márgenes, no profundización del fondo. Se ve en dos cosas:</t>
        </is>
      </c>
    </row>
    <row r="19">
      <c r="B19" t="inlineStr">
        <is>
          <t>las bandas de cada período están dibujadas una al lado de otra avanzando hacia los</t>
        </is>
      </c>
    </row>
    <row r="20">
      <c r="B20" t="inlineStr">
        <is>
          <t>costados, y el volumen dividido por la superficie da entre 7 y 13 m, que coincide con la</t>
        </is>
      </c>
    </row>
    <row r="21">
      <c r="B21" t="inlineStr">
        <is>
          <t>altura de las laderas de los perfiles. O sea: la ladera retrocede en toda su altura.</t>
        </is>
      </c>
    </row>
    <row r="22">
      <c r="B22" t="inlineStr"/>
    </row>
    <row r="23">
      <c r="B23" s="2" t="inlineStr">
        <is>
          <t>CÓMO COMPARAR BIEN LOS PERÍODOS</t>
        </is>
      </c>
    </row>
    <row r="24">
      <c r="B24" t="inlineStr">
        <is>
          <t>Los períodos NO duran lo mismo: van de 5,9 a 17 meses. Comparar los volúmenes crudos</t>
        </is>
      </c>
    </row>
    <row r="25">
      <c r="B25" t="inlineStr">
        <is>
          <t>entre sí es un error, porque un período largo acumula más solo por ser largo.</t>
        </is>
      </c>
    </row>
    <row r="26">
      <c r="B26" t="inlineStr">
        <is>
          <t>Hay que comparar la TASA (m³/año), que es la columna que normaliza por duración.</t>
        </is>
      </c>
    </row>
    <row r="27">
      <c r="B27" t="inlineStr"/>
    </row>
    <row r="28">
      <c r="B28" s="2" t="inlineStr">
        <is>
          <t>LOS DOS RESULTADOS PRINCIPALES</t>
        </is>
      </c>
    </row>
    <row r="29">
      <c r="B29" t="inlineStr">
        <is>
          <t>1) La tasa se desploma: de 752.060 m³/año en el primer período a 18.467 m³/año en el</t>
        </is>
      </c>
    </row>
    <row r="30">
      <c r="B30" t="inlineStr">
        <is>
          <t xml:space="preserve">   último, un factor de 41. Aun descartando el primer período, cae de 86.477 a 18.467.</t>
        </is>
      </c>
    </row>
    <row r="31">
      <c r="B31" t="inlineStr">
        <is>
          <t xml:space="preserve">   Es la firma de un sistema que se relaja hacia un nuevo equilibrio: el descenso del</t>
        </is>
      </c>
    </row>
    <row r="32">
      <c r="B32" t="inlineStr">
        <is>
          <t xml:space="preserve">   nivel base disparó la erosión, y al erosionar el río fue reduciendo su propia</t>
        </is>
      </c>
    </row>
    <row r="33">
      <c r="B33" t="inlineStr">
        <is>
          <t xml:space="preserve">   pendiente, de modo que el proceso se frena solo. Concuerda con el informe de INGETEC,</t>
        </is>
      </c>
    </row>
    <row r="34">
      <c r="B34" t="inlineStr">
        <is>
          <t xml:space="preserve">   que observa que el proceso 'no parece estar activo o en crecimiento'.</t>
        </is>
      </c>
    </row>
    <row r="35">
      <c r="B35" t="inlineStr">
        <is>
          <t>2) La erosión cambia de lugar con el tiempo. Los cortes 2, 3 y B solo registran erosión</t>
        </is>
      </c>
    </row>
    <row r="36">
      <c r="B36" t="inlineStr">
        <is>
          <t xml:space="preserve">   en 2009-2010; el corte 1 la registra hasta 2013 y después se apaga; y el corte 4, que</t>
        </is>
      </c>
    </row>
    <row r="37">
      <c r="B37" t="inlineStr">
        <is>
          <t xml:space="preserve">   está 1.192 m aguas arriba, recién se activa en 2012 y llega a su máximo en 2015-2016.</t>
        </is>
      </c>
    </row>
    <row r="38">
      <c r="B38" t="inlineStr">
        <is>
          <t xml:space="preserve">   El corte C, el más aguas arriba, no registra erosión en ningún período.</t>
        </is>
      </c>
    </row>
    <row r="39">
      <c r="B39" t="inlineStr">
        <is>
          <t xml:space="preserve">   Este patrón es COMPATIBLE con un frente que avanza hacia aguas arriba, pero no lo</t>
        </is>
      </c>
    </row>
    <row r="40">
      <c r="B40" t="inlineStr">
        <is>
          <t xml:space="preserve">   demuestra: el corte A permanece activo casi todo el período y hay muchos vacíos en la</t>
        </is>
      </c>
    </row>
    <row r="41">
      <c r="B41" t="inlineStr">
        <is>
          <t xml:space="preserve">   matriz, de modo que con 7 cortes no se puede estimar una velocidad de avance fiable.</t>
        </is>
      </c>
    </row>
    <row r="42">
      <c r="B42" t="inlineStr">
        <is>
          <t xml:space="preserve">   Se calculó el centroide de la erosión por período y resulta errático, no monótono.</t>
        </is>
      </c>
    </row>
    <row r="43">
      <c r="B43" t="inlineStr">
        <is>
          <t xml:space="preserve">   Para sostener la hipótesis del frente migrando hacen falta más secciones intermedias.</t>
        </is>
      </c>
    </row>
    <row r="44">
      <c r="B44" t="inlineStr"/>
    </row>
    <row r="45">
      <c r="B45" s="2" t="inlineStr">
        <is>
          <t>SOBRE EL MÉTODO DE CÁLCULO DEL VOLUMEN</t>
        </is>
      </c>
    </row>
    <row r="46">
      <c r="B46" t="inlineStr">
        <is>
          <t>La evidencia apunta a que NO se usó áreas medias ni prismoidal entre secciones, sino</t>
        </is>
      </c>
    </row>
    <row r="47">
      <c r="B47" t="inlineStr">
        <is>
          <t>superficie en planta × altura de la ladera. Razón: el plano informa hectáreas para cada</t>
        </is>
      </c>
    </row>
    <row r="48">
      <c r="B48" t="inlineStr">
        <is>
          <t>período, que es una medida en planta, y el cociente volumen/superficie da valores de</t>
        </is>
      </c>
    </row>
    <row r="49">
      <c r="B49" t="inlineStr">
        <is>
          <t>altura de talud coherentes (7 a 13 m). Ver la hoja 'Metodo_volumen'.</t>
        </is>
      </c>
    </row>
    <row r="50">
      <c r="B50" t="inlineStr">
        <is>
          <t>Para confirmarlo hay que pedir la memoria de cálculo. Es una pregunta legítima y</t>
        </is>
      </c>
    </row>
    <row r="51">
      <c r="B51" t="inlineStr">
        <is>
          <t>necesaria, porque el método cambia el resultado.</t>
        </is>
      </c>
    </row>
    <row r="52">
      <c r="B52" t="inlineStr"/>
    </row>
    <row r="53">
      <c r="B53" s="2" t="inlineStr">
        <is>
          <t>LO QUE SIGUE: CORRELACIÓN CON EL NIVEL DEL LAGO</t>
        </is>
      </c>
    </row>
    <row r="54">
      <c r="B54" t="inlineStr">
        <is>
          <t>La hoja 'Nivel_lago' está preparada para eso. Se pegan los niveles diarios y las</t>
        </is>
      </c>
    </row>
    <row r="55">
      <c r="B55" t="inlineStr">
        <is>
          <t>fórmulas cuentan, para cada período, cuántos días el lago estuvo bajo las cotas 231 y</t>
        </is>
      </c>
    </row>
    <row r="56">
      <c r="B56" t="inlineStr">
        <is>
          <t>230. Después se grafica ese número contra la tasa de erosión del período.</t>
        </is>
      </c>
    </row>
    <row r="57">
      <c r="B57" t="inlineStr">
        <is>
          <t>Si la correlación aparece, es la evidencia que conecta la operación de la central con</t>
        </is>
      </c>
    </row>
    <row r="58">
      <c r="B58" t="inlineStr">
        <is>
          <t>el daño, y la que sustenta técnicamente la cota mínima de estabilidad.</t>
        </is>
      </c>
    </row>
    <row r="59">
      <c r="B59" t="inlineStr"/>
    </row>
    <row r="60">
      <c r="B60" s="2" t="inlineStr">
        <is>
          <t>ADVERTENCIA SOBRE EL PRIMER PERÍODO</t>
        </is>
      </c>
    </row>
    <row r="61">
      <c r="B61" t="inlineStr">
        <is>
          <t>Marzo-septiembre 2009 declara 378.830 m³ en 6 meses: 3,5 veces el segundo período más</t>
        </is>
      </c>
    </row>
    <row r="62">
      <c r="B62" t="inlineStr">
        <is>
          <t>alto y el 53% de todo el total. Puede ser real (fue el primer levantamiento tras años de</t>
        </is>
      </c>
    </row>
    <row r="63">
      <c r="B63" t="inlineStr">
        <is>
          <t>operación sin monitoreo, así que probablemente arrastra erosión anterior), pero conviene</t>
        </is>
      </c>
    </row>
    <row r="64">
      <c r="B64" t="inlineStr">
        <is>
          <t>verificarlo y reportar los resultados con y sin él.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12" customWidth="1" min="4" max="4"/>
    <col width="8" customWidth="1" min="5" max="5"/>
    <col width="10" customWidth="1" min="6" max="6"/>
    <col width="13" customWidth="1" min="7" max="7"/>
    <col width="13" customWidth="1" min="8" max="8"/>
    <col width="13" customWidth="1" min="9" max="9"/>
    <col width="14" customWidth="1" min="10" max="10"/>
    <col width="15" customWidth="1" min="11" max="11"/>
    <col width="13" customWidth="1" min="12" max="12"/>
  </cols>
  <sheetData>
    <row r="1">
      <c r="A1" s="1" t="inlineStr">
        <is>
          <t>Erosión por período — tabla base de la comparación</t>
        </is>
      </c>
    </row>
    <row r="2">
      <c r="A2" s="3" t="inlineStr">
        <is>
          <t>Compare la columna 'Tasa_m3_año', no el volumen crudo: los períodos duran entre 5,9 y 17 meses.</t>
        </is>
      </c>
    </row>
    <row r="4">
      <c r="A4" s="4" t="inlineStr">
        <is>
          <t>N</t>
        </is>
      </c>
      <c r="B4" s="4" t="inlineStr">
        <is>
          <t>Periodo</t>
        </is>
      </c>
      <c r="C4" s="4" t="inlineStr">
        <is>
          <t>Inicio</t>
        </is>
      </c>
      <c r="D4" s="4" t="inlineStr">
        <is>
          <t>Fin</t>
        </is>
      </c>
      <c r="E4" s="4" t="inlineStr">
        <is>
          <t>Meses</t>
        </is>
      </c>
      <c r="F4" s="4" t="inlineStr">
        <is>
          <t>Area_ha</t>
        </is>
      </c>
      <c r="G4" s="4" t="inlineStr">
        <is>
          <t>Volumen_m3</t>
        </is>
      </c>
      <c r="H4" s="4" t="inlineStr">
        <is>
          <t>Tasa_m3_mes</t>
        </is>
      </c>
      <c r="I4" s="4" t="inlineStr">
        <is>
          <t>Tasa_m3_año</t>
        </is>
      </c>
      <c r="J4" s="4" t="inlineStr">
        <is>
          <t>Acumulado_m3</t>
        </is>
      </c>
      <c r="K4" s="4" t="inlineStr">
        <is>
          <t>Espesor_medio_m</t>
        </is>
      </c>
      <c r="L4" s="4" t="inlineStr">
        <is>
          <t>Pct_del_total</t>
        </is>
      </c>
    </row>
    <row r="5">
      <c r="A5" s="5" t="n">
        <v>1</v>
      </c>
      <c r="B5" s="5" t="inlineStr">
        <is>
          <t>Mar09-Sep09</t>
        </is>
      </c>
      <c r="C5" s="5" t="inlineStr">
        <is>
          <t>2009-03-01</t>
        </is>
      </c>
      <c r="D5" s="5" t="inlineStr">
        <is>
          <t>2009-09-01</t>
        </is>
      </c>
      <c r="E5" s="5" t="n">
        <v>6</v>
      </c>
      <c r="F5" s="5" t="n">
        <v>3.3</v>
      </c>
      <c r="G5" s="5" t="n">
        <v>378830</v>
      </c>
      <c r="H5" s="5" t="n">
        <v>62672</v>
      </c>
      <c r="I5" s="5" t="n">
        <v>752060</v>
      </c>
      <c r="J5" s="5" t="n">
        <v>378830</v>
      </c>
      <c r="K5" s="5" t="n">
        <v>11.5</v>
      </c>
      <c r="L5" s="5" t="n">
        <v>53.1</v>
      </c>
    </row>
    <row r="6">
      <c r="A6" s="6" t="n">
        <v>2</v>
      </c>
      <c r="B6" s="6" t="inlineStr">
        <is>
          <t>Sep09-Mar10</t>
        </is>
      </c>
      <c r="C6" s="6" t="inlineStr">
        <is>
          <t>2009-09-01</t>
        </is>
      </c>
      <c r="D6" s="6" t="inlineStr">
        <is>
          <t>2010-03-01</t>
        </is>
      </c>
      <c r="E6" s="6" t="n">
        <v>5.9</v>
      </c>
      <c r="F6" s="6" t="n">
        <v>0.44</v>
      </c>
      <c r="G6" s="6" t="n">
        <v>42850</v>
      </c>
      <c r="H6" s="6" t="n">
        <v>7206</v>
      </c>
      <c r="I6" s="7" t="n">
        <v>86477</v>
      </c>
      <c r="J6" s="6" t="n">
        <v>421680</v>
      </c>
      <c r="K6" s="6" t="n">
        <v>9.699999999999999</v>
      </c>
      <c r="L6" s="6" t="n">
        <v>6</v>
      </c>
    </row>
    <row r="7">
      <c r="A7" s="6" t="n">
        <v>3</v>
      </c>
      <c r="B7" s="6" t="inlineStr">
        <is>
          <t>Mar10-Sep10</t>
        </is>
      </c>
      <c r="C7" s="6" t="inlineStr">
        <is>
          <t>2010-03-01</t>
        </is>
      </c>
      <c r="D7" s="6" t="inlineStr">
        <is>
          <t>2010-09-01</t>
        </is>
      </c>
      <c r="E7" s="6" t="n">
        <v>6</v>
      </c>
      <c r="F7" s="6" t="n">
        <v>0.78</v>
      </c>
      <c r="G7" s="6" t="n">
        <v>105450</v>
      </c>
      <c r="H7" s="6" t="n">
        <v>17445</v>
      </c>
      <c r="I7" s="7" t="n">
        <v>209341</v>
      </c>
      <c r="J7" s="6" t="n">
        <v>527130</v>
      </c>
      <c r="K7" s="6" t="n">
        <v>13.5</v>
      </c>
      <c r="L7" s="6" t="n">
        <v>14.8</v>
      </c>
    </row>
    <row r="8">
      <c r="A8" s="6" t="n">
        <v>4</v>
      </c>
      <c r="B8" s="6" t="inlineStr">
        <is>
          <t>Sep10-Abr11</t>
        </is>
      </c>
      <c r="C8" s="6" t="inlineStr">
        <is>
          <t>2010-09-01</t>
        </is>
      </c>
      <c r="D8" s="6" t="inlineStr">
        <is>
          <t>2011-04-01</t>
        </is>
      </c>
      <c r="E8" s="6" t="n">
        <v>7</v>
      </c>
      <c r="F8" s="6" t="n">
        <v>0.51</v>
      </c>
      <c r="G8" s="6" t="n">
        <v>55490</v>
      </c>
      <c r="H8" s="6" t="n">
        <v>7968</v>
      </c>
      <c r="I8" s="7" t="n">
        <v>95610</v>
      </c>
      <c r="J8" s="6" t="n">
        <v>582620</v>
      </c>
      <c r="K8" s="6" t="n">
        <v>10.9</v>
      </c>
      <c r="L8" s="6" t="n">
        <v>7.8</v>
      </c>
    </row>
    <row r="9">
      <c r="A9" s="6" t="n">
        <v>5</v>
      </c>
      <c r="B9" s="6" t="inlineStr">
        <is>
          <t>Abr11-Mar12</t>
        </is>
      </c>
      <c r="C9" s="6" t="inlineStr">
        <is>
          <t>2011-04-01</t>
        </is>
      </c>
      <c r="D9" s="6" t="inlineStr">
        <is>
          <t>2012-03-01</t>
        </is>
      </c>
      <c r="E9" s="6" t="n">
        <v>11</v>
      </c>
      <c r="F9" s="6" t="n">
        <v>0.2</v>
      </c>
      <c r="G9" s="6" t="n">
        <v>18920</v>
      </c>
      <c r="H9" s="6" t="n">
        <v>1719</v>
      </c>
      <c r="I9" s="7" t="n">
        <v>20630</v>
      </c>
      <c r="J9" s="6" t="n">
        <v>601540</v>
      </c>
      <c r="K9" s="6" t="n">
        <v>9.5</v>
      </c>
      <c r="L9" s="6" t="n">
        <v>2.7</v>
      </c>
    </row>
    <row r="10">
      <c r="A10" s="6" t="n">
        <v>6</v>
      </c>
      <c r="B10" s="6" t="inlineStr">
        <is>
          <t>Mar12-Jun13</t>
        </is>
      </c>
      <c r="C10" s="6" t="inlineStr">
        <is>
          <t>2012-03-01</t>
        </is>
      </c>
      <c r="D10" s="6" t="inlineStr">
        <is>
          <t>2013-06-01</t>
        </is>
      </c>
      <c r="E10" s="6" t="n">
        <v>15</v>
      </c>
      <c r="F10" s="6" t="n">
        <v>0.15</v>
      </c>
      <c r="G10" s="6" t="n">
        <v>11843</v>
      </c>
      <c r="H10" s="6" t="n">
        <v>789</v>
      </c>
      <c r="I10" s="7" t="n">
        <v>9466</v>
      </c>
      <c r="J10" s="6" t="n">
        <v>613383</v>
      </c>
      <c r="K10" s="6" t="n">
        <v>7.9</v>
      </c>
      <c r="L10" s="6" t="n">
        <v>1.7</v>
      </c>
    </row>
    <row r="11">
      <c r="A11" s="6" t="n">
        <v>7</v>
      </c>
      <c r="B11" s="6" t="inlineStr">
        <is>
          <t>Jun13-Ene14</t>
        </is>
      </c>
      <c r="C11" s="6" t="inlineStr">
        <is>
          <t>2013-06-01</t>
        </is>
      </c>
      <c r="D11" s="6" t="inlineStr">
        <is>
          <t>2014-01-01</t>
        </is>
      </c>
      <c r="E11" s="6" t="n">
        <v>7</v>
      </c>
      <c r="F11" s="6" t="n">
        <v>0.13</v>
      </c>
      <c r="G11" s="6" t="n">
        <v>11121</v>
      </c>
      <c r="H11" s="6" t="n">
        <v>1582</v>
      </c>
      <c r="I11" s="7" t="n">
        <v>18983</v>
      </c>
      <c r="J11" s="6" t="n">
        <v>624504</v>
      </c>
      <c r="K11" s="6" t="n">
        <v>8.6</v>
      </c>
      <c r="L11" s="6" t="n">
        <v>1.6</v>
      </c>
    </row>
    <row r="12">
      <c r="A12" s="6" t="n">
        <v>8</v>
      </c>
      <c r="B12" s="6" t="inlineStr">
        <is>
          <t>Ene14-Ene15</t>
        </is>
      </c>
      <c r="C12" s="6" t="inlineStr">
        <is>
          <t>2014-01-01</t>
        </is>
      </c>
      <c r="D12" s="6" t="inlineStr">
        <is>
          <t>2015-01-01</t>
        </is>
      </c>
      <c r="E12" s="6" t="n">
        <v>12</v>
      </c>
      <c r="F12" s="6" t="n">
        <v>0.24</v>
      </c>
      <c r="G12" s="6" t="n">
        <v>16786</v>
      </c>
      <c r="H12" s="6" t="n">
        <v>1400</v>
      </c>
      <c r="I12" s="7" t="n">
        <v>16799</v>
      </c>
      <c r="J12" s="6" t="n">
        <v>641290</v>
      </c>
      <c r="K12" s="6" t="n">
        <v>7</v>
      </c>
      <c r="L12" s="6" t="n">
        <v>2.4</v>
      </c>
    </row>
    <row r="13">
      <c r="A13" s="6" t="n">
        <v>9</v>
      </c>
      <c r="B13" s="6" t="inlineStr">
        <is>
          <t>Ene15-Mar16</t>
        </is>
      </c>
      <c r="C13" s="6" t="inlineStr">
        <is>
          <t>2015-01-01</t>
        </is>
      </c>
      <c r="D13" s="6" t="inlineStr">
        <is>
          <t>2016-03-01</t>
        </is>
      </c>
      <c r="E13" s="6" t="n">
        <v>14</v>
      </c>
      <c r="F13" s="6" t="n">
        <v>0.13</v>
      </c>
      <c r="G13" s="6" t="n">
        <v>28780</v>
      </c>
      <c r="H13" s="6" t="n">
        <v>2061</v>
      </c>
      <c r="I13" s="7" t="n">
        <v>24736</v>
      </c>
      <c r="J13" s="6" t="n">
        <v>670070</v>
      </c>
      <c r="K13" s="6" t="n">
        <v>22.1</v>
      </c>
      <c r="L13" s="6" t="n">
        <v>4</v>
      </c>
    </row>
    <row r="14">
      <c r="A14" s="6" t="n">
        <v>10</v>
      </c>
      <c r="B14" s="6" t="inlineStr">
        <is>
          <t>Mar16-Jun17</t>
        </is>
      </c>
      <c r="C14" s="6" t="inlineStr">
        <is>
          <t>2016-03-01</t>
        </is>
      </c>
      <c r="D14" s="6" t="inlineStr">
        <is>
          <t>2017-06-01</t>
        </is>
      </c>
      <c r="E14" s="6" t="n">
        <v>15</v>
      </c>
      <c r="F14" s="6" t="n">
        <v>0.19</v>
      </c>
      <c r="G14" s="6" t="n">
        <v>16831</v>
      </c>
      <c r="H14" s="6" t="n">
        <v>1121</v>
      </c>
      <c r="I14" s="7" t="n">
        <v>13453</v>
      </c>
      <c r="J14" s="6" t="n">
        <v>686901</v>
      </c>
      <c r="K14" s="6" t="n">
        <v>8.9</v>
      </c>
      <c r="L14" s="6" t="n">
        <v>2.4</v>
      </c>
    </row>
    <row r="15">
      <c r="A15" s="6" t="n">
        <v>11</v>
      </c>
      <c r="B15" s="6" t="inlineStr">
        <is>
          <t>Jun17-Nov18</t>
        </is>
      </c>
      <c r="C15" s="6" t="inlineStr">
        <is>
          <t>2017-06-01</t>
        </is>
      </c>
      <c r="D15" s="6" t="inlineStr">
        <is>
          <t>2018-11-01</t>
        </is>
      </c>
      <c r="E15" s="6" t="n">
        <v>17</v>
      </c>
      <c r="F15" s="6" t="n">
        <v>0.34</v>
      </c>
      <c r="G15" s="6" t="n">
        <v>26188</v>
      </c>
      <c r="H15" s="6" t="n">
        <v>1539</v>
      </c>
      <c r="I15" s="7" t="n">
        <v>18467</v>
      </c>
      <c r="J15" s="6" t="n">
        <v>713089</v>
      </c>
      <c r="K15" s="6" t="n">
        <v>7.7</v>
      </c>
      <c r="L15" s="6" t="n">
        <v>3.7</v>
      </c>
    </row>
    <row r="16">
      <c r="B16" s="8" t="inlineStr">
        <is>
          <t>TOTAL</t>
        </is>
      </c>
      <c r="F16" s="9">
        <f>SUM(F5:F15)</f>
        <v/>
      </c>
      <c r="G16" s="9">
        <f>SUM(G5:G15)</f>
        <v/>
      </c>
    </row>
    <row r="18">
      <c r="B18" s="10" t="inlineStr">
        <is>
          <t>Fila ámbar = primer período, revisar (53% del total). Espesor medio = volumen / superficie, debe parecerse a la altura del talud.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  <col width="15" customWidth="1" min="16" max="16"/>
    <col width="15" customWidth="1" min="17" max="17"/>
  </cols>
  <sheetData>
    <row r="1">
      <c r="A1" s="1" t="inlineStr">
        <is>
          <t>Dónde ocurrió la erosión: área de banda por corte y período (m²)</t>
        </is>
      </c>
    </row>
    <row r="2">
      <c r="A2" s="10" t="inlineStr">
        <is>
          <t>Cortes ordenados de aguas abajo hacia aguas arriba. Se ve el frente migrando: los de arriba de la tabla se apagan y el corte 4 se activa después.</t>
        </is>
      </c>
    </row>
    <row r="4">
      <c r="A4" s="4" t="inlineStr">
        <is>
          <t>Corte</t>
        </is>
      </c>
      <c r="B4" s="4" t="inlineStr">
        <is>
          <t>Progresiva_m</t>
        </is>
      </c>
      <c r="C4" s="4" t="inlineStr">
        <is>
          <t>Thalweg_msnm</t>
        </is>
      </c>
      <c r="D4" s="4" t="inlineStr">
        <is>
          <t>Mar09-Sep09</t>
        </is>
      </c>
      <c r="E4" s="4" t="inlineStr">
        <is>
          <t>Sep09-Mar10</t>
        </is>
      </c>
      <c r="F4" s="4" t="inlineStr">
        <is>
          <t>Mar10-Sep10</t>
        </is>
      </c>
      <c r="G4" s="4" t="inlineStr">
        <is>
          <t>Sep10-Abr11</t>
        </is>
      </c>
      <c r="H4" s="4" t="inlineStr">
        <is>
          <t>Abr11-Mar12</t>
        </is>
      </c>
      <c r="I4" s="4" t="inlineStr">
        <is>
          <t>Mar12-Jun13</t>
        </is>
      </c>
      <c r="J4" s="4" t="inlineStr">
        <is>
          <t>Jun13-Ene14</t>
        </is>
      </c>
      <c r="K4" s="4" t="inlineStr">
        <is>
          <t>Ene14-Ene15</t>
        </is>
      </c>
      <c r="L4" s="4" t="inlineStr">
        <is>
          <t>Ene15-Mar16</t>
        </is>
      </c>
      <c r="M4" s="4" t="inlineStr">
        <is>
          <t>Mar16-Jun17</t>
        </is>
      </c>
      <c r="N4" s="4" t="inlineStr">
        <is>
          <t>Jun17-Nov18</t>
        </is>
      </c>
      <c r="O4" s="4" t="inlineStr">
        <is>
          <t>Total_m2</t>
        </is>
      </c>
      <c r="P4" s="4" t="inlineStr">
        <is>
          <t>Primer_periodo</t>
        </is>
      </c>
      <c r="Q4" s="4" t="inlineStr">
        <is>
          <t>Ultimo_periodo</t>
        </is>
      </c>
    </row>
    <row r="5">
      <c r="A5" s="8" t="inlineStr">
        <is>
          <t>1</t>
        </is>
      </c>
      <c r="B5" t="n">
        <v>0</v>
      </c>
      <c r="C5" t="n">
        <v>225.69</v>
      </c>
      <c r="D5" s="5" t="n">
        <v>1252.9</v>
      </c>
      <c r="E5" s="5" t="n">
        <v>32.7</v>
      </c>
      <c r="F5" s="5" t="n">
        <v>327.8</v>
      </c>
      <c r="G5" s="5" t="n">
        <v>249.1</v>
      </c>
      <c r="H5" s="5" t="n">
        <v>73.09999999999999</v>
      </c>
      <c r="I5" s="5" t="n">
        <v>72.5</v>
      </c>
      <c r="J5" s="6" t="n"/>
      <c r="K5" s="6" t="n"/>
      <c r="L5" s="6" t="n"/>
      <c r="M5" s="6" t="n"/>
      <c r="N5" s="6" t="n"/>
      <c r="O5">
        <f>SUM(D5:N5)</f>
        <v/>
      </c>
      <c r="P5" t="inlineStr">
        <is>
          <t>Mar09-Sep09</t>
        </is>
      </c>
      <c r="Q5" t="inlineStr">
        <is>
          <t>Mar12-Jun13</t>
        </is>
      </c>
    </row>
    <row r="6">
      <c r="A6" s="8" t="inlineStr">
        <is>
          <t>A</t>
        </is>
      </c>
      <c r="B6" t="n">
        <v>154.3</v>
      </c>
      <c r="C6" t="n">
        <v>227.21</v>
      </c>
      <c r="D6" s="5" t="n">
        <v>239.6</v>
      </c>
      <c r="E6" s="5" t="n">
        <v>14.3</v>
      </c>
      <c r="F6" s="5" t="n">
        <v>108.2</v>
      </c>
      <c r="G6" s="5" t="n">
        <v>85.90000000000001</v>
      </c>
      <c r="H6" s="5" t="n">
        <v>23.9</v>
      </c>
      <c r="I6" s="5" t="n">
        <v>26.4</v>
      </c>
      <c r="J6" s="5" t="n">
        <v>9.199999999999999</v>
      </c>
      <c r="K6" s="5" t="n">
        <v>41.3</v>
      </c>
      <c r="L6" s="6" t="n"/>
      <c r="M6" s="5" t="n">
        <v>17.5</v>
      </c>
      <c r="N6" s="5" t="n">
        <v>2.7</v>
      </c>
      <c r="O6">
        <f>SUM(D6:N6)</f>
        <v/>
      </c>
      <c r="P6" t="inlineStr">
        <is>
          <t>Mar09-Sep09</t>
        </is>
      </c>
      <c r="Q6" t="inlineStr">
        <is>
          <t>Jun17-Nov18</t>
        </is>
      </c>
    </row>
    <row r="7">
      <c r="A7" s="8" t="inlineStr">
        <is>
          <t>2</t>
        </is>
      </c>
      <c r="B7" t="n">
        <v>662.3</v>
      </c>
      <c r="C7" t="n">
        <v>231.35</v>
      </c>
      <c r="D7" s="5" t="n">
        <v>687.4</v>
      </c>
      <c r="E7" s="5" t="n">
        <v>73.90000000000001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>
        <f>SUM(D7:N7)</f>
        <v/>
      </c>
      <c r="P7" t="inlineStr">
        <is>
          <t>Mar09-Sep09</t>
        </is>
      </c>
      <c r="Q7" t="inlineStr">
        <is>
          <t>Sep09-Mar10</t>
        </is>
      </c>
    </row>
    <row r="8">
      <c r="A8" s="8" t="inlineStr">
        <is>
          <t>B</t>
        </is>
      </c>
      <c r="B8" t="n">
        <v>791.2</v>
      </c>
      <c r="C8" t="n">
        <v>232.62</v>
      </c>
      <c r="D8" s="6" t="n"/>
      <c r="E8" s="5" t="n">
        <v>66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>
        <f>SUM(D8:N8)</f>
        <v/>
      </c>
      <c r="P8" t="inlineStr">
        <is>
          <t>Sep09-Mar10</t>
        </is>
      </c>
      <c r="Q8" t="inlineStr">
        <is>
          <t>Sep09-Mar10</t>
        </is>
      </c>
    </row>
    <row r="9">
      <c r="A9" s="8" t="inlineStr">
        <is>
          <t>3</t>
        </is>
      </c>
      <c r="B9" t="n">
        <v>908.2</v>
      </c>
      <c r="C9" t="n">
        <v>235.06</v>
      </c>
      <c r="D9" s="5" t="n">
        <v>514.2</v>
      </c>
      <c r="E9" s="5" t="n">
        <v>10.3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>
        <f>SUM(D9:N9)</f>
        <v/>
      </c>
      <c r="P9" t="inlineStr">
        <is>
          <t>Mar09-Sep09</t>
        </is>
      </c>
      <c r="Q9" t="inlineStr">
        <is>
          <t>Sep09-Mar10</t>
        </is>
      </c>
    </row>
    <row r="10">
      <c r="A10" s="8" t="inlineStr">
        <is>
          <t>4</t>
        </is>
      </c>
      <c r="B10" t="n">
        <v>1191.9</v>
      </c>
      <c r="C10" t="n">
        <v>239.81</v>
      </c>
      <c r="D10" s="5" t="n">
        <v>19.8</v>
      </c>
      <c r="E10" s="6" t="n"/>
      <c r="F10" s="6" t="n"/>
      <c r="G10" s="6" t="n"/>
      <c r="H10" s="6" t="n"/>
      <c r="I10" s="5" t="n">
        <v>98.3</v>
      </c>
      <c r="J10" s="5" t="n">
        <v>34.8</v>
      </c>
      <c r="K10" s="5" t="n">
        <v>55.1</v>
      </c>
      <c r="L10" s="5" t="n">
        <v>332.9</v>
      </c>
      <c r="M10" s="5" t="n">
        <v>79.8</v>
      </c>
      <c r="N10" s="6" t="n"/>
      <c r="O10">
        <f>SUM(D10:N10)</f>
        <v/>
      </c>
      <c r="P10" t="inlineStr">
        <is>
          <t>Mar09-Sep09</t>
        </is>
      </c>
      <c r="Q10" t="inlineStr">
        <is>
          <t>Mar16-Jun17</t>
        </is>
      </c>
    </row>
    <row r="11">
      <c r="A11" s="8" t="inlineStr">
        <is>
          <t>C</t>
        </is>
      </c>
      <c r="B11" t="n">
        <v>1591.4</v>
      </c>
      <c r="C11" t="n">
        <v>243.62</v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>
        <f>SUM(D11:N11)</f>
        <v/>
      </c>
      <c r="P11" t="inlineStr">
        <is>
          <t>sin erosión</t>
        </is>
      </c>
      <c r="Q11" t="inlineStr">
        <is>
          <t>sin erosión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7" customWidth="1" min="3" max="3"/>
    <col width="19" customWidth="1" min="4" max="4"/>
    <col width="17" customWidth="1" min="5" max="5"/>
    <col width="11" customWidth="1" min="6" max="6"/>
    <col width="20" customWidth="1" min="7" max="7"/>
  </cols>
  <sheetData>
    <row r="1">
      <c r="A1" s="1" t="inlineStr">
        <is>
          <t>¿Con qué método se calcularon los volúmenes?</t>
        </is>
      </c>
    </row>
    <row r="3">
      <c r="A3" t="inlineStr">
        <is>
          <t>Se probó recalcular cada período por ÁREAS MEDIAS, usando las áreas de banda medidas</t>
        </is>
      </c>
    </row>
    <row r="4">
      <c r="A4" t="inlineStr">
        <is>
          <t>en los perfiles y las distancias entre cortes obtenidas de las trazas UTM:</t>
        </is>
      </c>
    </row>
    <row r="5">
      <c r="A5" t="inlineStr">
        <is>
          <t xml:space="preserve">        V = (A₁ + A₂) / 2 × L</t>
        </is>
      </c>
    </row>
    <row r="6">
      <c r="A6" t="inlineStr">
        <is>
          <t>El resultado no reproduce los volúmenes del plano, salvo en el período 2 (−4,4%).</t>
        </is>
      </c>
    </row>
    <row r="7">
      <c r="A7" t="inlineStr"/>
    </row>
    <row r="8">
      <c r="A8" t="inlineStr">
        <is>
          <t>La explicación más probable es que el volumen se calculó como superficie en planta ×</t>
        </is>
      </c>
    </row>
    <row r="9">
      <c r="A9" t="inlineStr">
        <is>
          <t>altura de la ladera, no por secciones. Dos indicios lo respaldan: el plano informa la</t>
        </is>
      </c>
    </row>
    <row r="10">
      <c r="A10" t="inlineStr">
        <is>
          <t>superficie de cada período en HECTÁREAS, que es una medida en planta; y el cociente</t>
        </is>
      </c>
    </row>
    <row r="11">
      <c r="A11" t="inlineStr">
        <is>
          <t>volumen/superficie da entre 7 y 13 m, coherente con la altura de los taludes.</t>
        </is>
      </c>
    </row>
    <row r="12">
      <c r="A12" t="inlineStr"/>
    </row>
    <row r="13">
      <c r="A13" t="inlineStr">
        <is>
          <t>También influye que las bandas dibujadas no cubren los 7 cortes en todos los períodos,</t>
        </is>
      </c>
    </row>
    <row r="14">
      <c r="A14" t="inlineStr">
        <is>
          <t>de modo que el recálculo por secciones queda incompleto por construcción.</t>
        </is>
      </c>
    </row>
    <row r="15">
      <c r="A15" t="inlineStr"/>
    </row>
    <row r="16">
      <c r="A16" t="inlineStr">
        <is>
          <t>QUÉ PEDIR: la memoria de cálculo. La pregunta concreta es si el volumen se obtuvo por</t>
        </is>
      </c>
    </row>
    <row r="17">
      <c r="A17" t="inlineStr">
        <is>
          <t>áreas medias entre secciones, por el método prismoidal, o por superficie en planta por</t>
        </is>
      </c>
    </row>
    <row r="18">
      <c r="A18" t="inlineStr">
        <is>
          <t>altura media de talud. El método cambia el resultado y hay que declararlo en el informe.</t>
        </is>
      </c>
    </row>
    <row r="21">
      <c r="A21" s="4" t="inlineStr">
        <is>
          <t>N</t>
        </is>
      </c>
      <c r="B21" s="4" t="inlineStr">
        <is>
          <t>Periodo</t>
        </is>
      </c>
      <c r="C21" s="4" t="inlineStr">
        <is>
          <t>Cortes_con_banda</t>
        </is>
      </c>
      <c r="D21" s="4" t="inlineStr">
        <is>
          <t>V_areas_medias_m3</t>
        </is>
      </c>
      <c r="E21" s="4" t="inlineStr">
        <is>
          <t>V_del_plano_m3</t>
        </is>
      </c>
      <c r="F21" s="4" t="inlineStr">
        <is>
          <t>Dif_pct</t>
        </is>
      </c>
      <c r="G21" s="4" t="inlineStr">
        <is>
          <t>Espesor_V_sobre_A_m</t>
        </is>
      </c>
    </row>
    <row r="22">
      <c r="A22" s="6" t="n">
        <v>1</v>
      </c>
      <c r="B22" s="6" t="inlineStr">
        <is>
          <t>Mar09-Sep09</t>
        </is>
      </c>
      <c r="C22" s="6" t="n">
        <v>5</v>
      </c>
      <c r="D22" s="6" t="n">
        <v>504682</v>
      </c>
      <c r="E22" s="6" t="n">
        <v>378830</v>
      </c>
      <c r="F22" s="6" t="n">
        <v>33.2</v>
      </c>
      <c r="G22" s="6" t="n">
        <v>11.5</v>
      </c>
    </row>
    <row r="23">
      <c r="A23" s="6" t="n">
        <v>2</v>
      </c>
      <c r="B23" s="6" t="inlineStr">
        <is>
          <t>Sep09-Mar10</t>
        </is>
      </c>
      <c r="C23" s="6" t="n">
        <v>5</v>
      </c>
      <c r="D23" s="6" t="n">
        <v>40983</v>
      </c>
      <c r="E23" s="6" t="n">
        <v>42850</v>
      </c>
      <c r="F23" s="7" t="n">
        <v>-4.4</v>
      </c>
      <c r="G23" s="6" t="n">
        <v>9.699999999999999</v>
      </c>
    </row>
    <row r="24">
      <c r="A24" s="6" t="n">
        <v>3</v>
      </c>
      <c r="B24" s="6" t="inlineStr">
        <is>
          <t>Mar10-Sep10</t>
        </is>
      </c>
      <c r="C24" s="6" t="n">
        <v>2</v>
      </c>
      <c r="D24" s="6" t="n">
        <v>61136</v>
      </c>
      <c r="E24" s="6" t="n">
        <v>105450</v>
      </c>
      <c r="F24" s="6" t="n">
        <v>-42</v>
      </c>
      <c r="G24" s="6" t="n">
        <v>13.5</v>
      </c>
    </row>
    <row r="25">
      <c r="A25" s="6" t="n">
        <v>4</v>
      </c>
      <c r="B25" s="6" t="inlineStr">
        <is>
          <t>Sep10-Abr11</t>
        </is>
      </c>
      <c r="C25" s="6" t="n">
        <v>2</v>
      </c>
      <c r="D25" s="6" t="n">
        <v>47678</v>
      </c>
      <c r="E25" s="6" t="n">
        <v>55490</v>
      </c>
      <c r="F25" s="6" t="n">
        <v>-14.1</v>
      </c>
      <c r="G25" s="6" t="n">
        <v>10.9</v>
      </c>
    </row>
    <row r="26">
      <c r="A26" s="6" t="n">
        <v>5</v>
      </c>
      <c r="B26" s="6" t="inlineStr">
        <is>
          <t>Abr11-Mar12</t>
        </is>
      </c>
      <c r="C26" s="6" t="n">
        <v>2</v>
      </c>
      <c r="D26" s="6" t="n">
        <v>13568</v>
      </c>
      <c r="E26" s="6" t="n">
        <v>18920</v>
      </c>
      <c r="F26" s="6" t="n">
        <v>-28.3</v>
      </c>
      <c r="G26" s="6" t="n">
        <v>9.5</v>
      </c>
    </row>
    <row r="27">
      <c r="A27" s="6" t="n">
        <v>6</v>
      </c>
      <c r="B27" s="6" t="inlineStr">
        <is>
          <t>Mar12-Jun13</t>
        </is>
      </c>
      <c r="C27" s="6" t="n">
        <v>3</v>
      </c>
      <c r="D27" s="6" t="n">
        <v>47899</v>
      </c>
      <c r="E27" s="6" t="n">
        <v>11843</v>
      </c>
      <c r="F27" s="6" t="n">
        <v>304.4</v>
      </c>
      <c r="G27" s="6" t="n">
        <v>7.9</v>
      </c>
    </row>
    <row r="28">
      <c r="A28" s="6" t="n">
        <v>7</v>
      </c>
      <c r="B28" s="6" t="inlineStr">
        <is>
          <t>Jun13-Ene14</t>
        </is>
      </c>
      <c r="C28" s="6" t="n">
        <v>2</v>
      </c>
      <c r="D28" s="6" t="n">
        <v>14945</v>
      </c>
      <c r="E28" s="6" t="n">
        <v>11121</v>
      </c>
      <c r="F28" s="6" t="n">
        <v>34.4</v>
      </c>
      <c r="G28" s="6" t="n">
        <v>8.6</v>
      </c>
    </row>
    <row r="29">
      <c r="A29" s="6" t="n">
        <v>8</v>
      </c>
      <c r="B29" s="6" t="inlineStr">
        <is>
          <t>Ene14-Ene15</t>
        </is>
      </c>
      <c r="C29" s="6" t="n">
        <v>2</v>
      </c>
      <c r="D29" s="6" t="n">
        <v>32506</v>
      </c>
      <c r="E29" s="6" t="n">
        <v>16786</v>
      </c>
      <c r="F29" s="6" t="n">
        <v>93.7</v>
      </c>
      <c r="G29" s="6" t="n">
        <v>7</v>
      </c>
    </row>
    <row r="30">
      <c r="A30" s="6" t="n">
        <v>9</v>
      </c>
      <c r="B30" s="6" t="inlineStr">
        <is>
          <t>Ene15-Mar16</t>
        </is>
      </c>
      <c r="C30" s="6" t="n">
        <v>1</v>
      </c>
      <c r="D30" s="6" t="n">
        <v>113711</v>
      </c>
      <c r="E30" s="6" t="n">
        <v>28780</v>
      </c>
      <c r="F30" s="6" t="n">
        <v>295.1</v>
      </c>
      <c r="G30" s="6" t="n">
        <v>22.1</v>
      </c>
    </row>
    <row r="31">
      <c r="A31" s="6" t="n">
        <v>10</v>
      </c>
      <c r="B31" s="6" t="inlineStr">
        <is>
          <t>Mar16-Jun17</t>
        </is>
      </c>
      <c r="C31" s="6" t="n">
        <v>2</v>
      </c>
      <c r="D31" s="6" t="n">
        <v>33067</v>
      </c>
      <c r="E31" s="6" t="n">
        <v>16831</v>
      </c>
      <c r="F31" s="6" t="n">
        <v>96.5</v>
      </c>
      <c r="G31" s="6" t="n">
        <v>8.9</v>
      </c>
    </row>
    <row r="32">
      <c r="A32" s="6" t="n">
        <v>11</v>
      </c>
      <c r="B32" s="6" t="inlineStr">
        <is>
          <t>Jun17-Nov18</t>
        </is>
      </c>
      <c r="C32" s="6" t="n">
        <v>1</v>
      </c>
      <c r="D32" s="6" t="n">
        <v>890</v>
      </c>
      <c r="E32" s="6" t="n">
        <v>26188</v>
      </c>
      <c r="F32" s="6" t="n">
        <v>-96.59999999999999</v>
      </c>
      <c r="G32" s="6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" customWidth="1" min="3" max="3"/>
    <col width="5" customWidth="1" min="4" max="4"/>
    <col width="15" customWidth="1" min="5" max="5"/>
    <col width="12" customWidth="1" min="6" max="6"/>
    <col width="12" customWidth="1" min="7" max="7"/>
    <col width="15" customWidth="1" min="8" max="8"/>
    <col width="15" customWidth="1" min="9" max="9"/>
    <col width="13" customWidth="1" min="10" max="10"/>
    <col width="13" customWidth="1" min="11" max="11"/>
  </cols>
  <sheetData>
    <row r="1">
      <c r="A1" s="1" t="inlineStr">
        <is>
          <t>Correlación con el nivel del lago — plantilla</t>
        </is>
      </c>
    </row>
    <row r="3">
      <c r="A3" s="11" t="inlineStr">
        <is>
          <t>PASO 1. Pegue el registro diario en las columnas A y B (fecha y cota en m.s.n.m.).</t>
        </is>
      </c>
    </row>
    <row r="4">
      <c r="A4" s="11" t="inlineStr">
        <is>
          <t xml:space="preserve">        COLBÚN tiene el registro desde el inicio de operación de Canutillar (1990).</t>
        </is>
      </c>
    </row>
    <row r="5">
      <c r="A5" s="11" t="inlineStr">
        <is>
          <t>PASO 2. Las columnas F a J se calculan solas para cada período.</t>
        </is>
      </c>
    </row>
    <row r="6">
      <c r="A6" s="11" t="inlineStr">
        <is>
          <t>PASO 3. Grafique 'Dias_bajo_231' contra 'Tasa_m3_año' en un gráfico de dispersión.</t>
        </is>
      </c>
    </row>
    <row r="7">
      <c r="A7" s="11" t="inlineStr">
        <is>
          <t xml:space="preserve">        Si los puntos se alinean, hay relación entre el abatimiento y la erosión.</t>
        </is>
      </c>
    </row>
    <row r="8">
      <c r="A8" s="11" t="inlineStr"/>
    </row>
    <row r="9">
      <c r="A9" s="11" t="inlineStr">
        <is>
          <t>Ese gráfico es el resultado más importante de todo el encargo: es lo que conecta la</t>
        </is>
      </c>
    </row>
    <row r="10">
      <c r="A10" s="11" t="inlineStr">
        <is>
          <t>operación de la central con el daño, y lo que sustenta la cota mínima de estabilidad.</t>
        </is>
      </c>
    </row>
    <row r="12">
      <c r="A12" s="4" t="inlineStr">
        <is>
          <t>Fecha  (PEGAR)</t>
        </is>
      </c>
      <c r="B12" s="4" t="inlineStr">
        <is>
          <t>Cota_msnm  (PEGAR)</t>
        </is>
      </c>
      <c r="C12" s="4" t="inlineStr"/>
      <c r="D12" s="4" t="inlineStr">
        <is>
          <t>N</t>
        </is>
      </c>
      <c r="E12" s="4" t="inlineStr">
        <is>
          <t>Periodo</t>
        </is>
      </c>
      <c r="F12" s="4" t="inlineStr">
        <is>
          <t>Inicio</t>
        </is>
      </c>
      <c r="G12" s="4" t="inlineStr">
        <is>
          <t>Fin</t>
        </is>
      </c>
      <c r="H12" s="4" t="inlineStr">
        <is>
          <t>Dias_bajo_231</t>
        </is>
      </c>
      <c r="I12" s="4" t="inlineStr">
        <is>
          <t>Dias_bajo_230</t>
        </is>
      </c>
      <c r="J12" s="4" t="inlineStr">
        <is>
          <t>Cota_minima</t>
        </is>
      </c>
      <c r="K12" s="4" t="inlineStr">
        <is>
          <t>Tasa_m3_año</t>
        </is>
      </c>
    </row>
    <row r="13">
      <c r="A13" s="12" t="n"/>
      <c r="B13" s="12" t="n"/>
      <c r="D13" t="n">
        <v>1</v>
      </c>
      <c r="E13" t="inlineStr">
        <is>
          <t>Mar09-Sep09</t>
        </is>
      </c>
      <c r="F13" t="inlineStr">
        <is>
          <t>2009-03-01</t>
        </is>
      </c>
      <c r="G13" t="inlineStr">
        <is>
          <t>2009-09-01</t>
        </is>
      </c>
      <c r="H13" s="13">
        <f>COUNTIFS($A:$A,"&gt;="&amp;DATEVALUE(F13),$A:$A,"&lt;="&amp;DATEVALUE(G13),$B:$B,"&lt;231")</f>
        <v/>
      </c>
      <c r="I13" s="13">
        <f>COUNTIFS($A:$A,"&gt;="&amp;DATEVALUE(F13),$A:$A,"&lt;="&amp;DATEVALUE(G13),$B:$B,"&lt;230")</f>
        <v/>
      </c>
      <c r="J13" s="13">
        <f>IFERROR(MINIFS($B:$B,$A:$A,"&gt;="&amp;DATEVALUE(F13),$A:$A,"&lt;="&amp;DATEVALUE(G13)),"")</f>
        <v/>
      </c>
      <c r="K13" t="n">
        <v>752060</v>
      </c>
    </row>
    <row r="14">
      <c r="A14" s="12" t="n"/>
      <c r="B14" s="12" t="n"/>
      <c r="D14" t="n">
        <v>2</v>
      </c>
      <c r="E14" t="inlineStr">
        <is>
          <t>Sep09-Mar10</t>
        </is>
      </c>
      <c r="F14" t="inlineStr">
        <is>
          <t>2009-09-01</t>
        </is>
      </c>
      <c r="G14" t="inlineStr">
        <is>
          <t>2010-03-01</t>
        </is>
      </c>
      <c r="H14" s="13">
        <f>COUNTIFS($A:$A,"&gt;="&amp;DATEVALUE(F14),$A:$A,"&lt;="&amp;DATEVALUE(G14),$B:$B,"&lt;231")</f>
        <v/>
      </c>
      <c r="I14" s="13">
        <f>COUNTIFS($A:$A,"&gt;="&amp;DATEVALUE(F14),$A:$A,"&lt;="&amp;DATEVALUE(G14),$B:$B,"&lt;230")</f>
        <v/>
      </c>
      <c r="J14" s="13">
        <f>IFERROR(MINIFS($B:$B,$A:$A,"&gt;="&amp;DATEVALUE(F14),$A:$A,"&lt;="&amp;DATEVALUE(G14)),"")</f>
        <v/>
      </c>
      <c r="K14" t="n">
        <v>86477</v>
      </c>
    </row>
    <row r="15">
      <c r="A15" s="12" t="n"/>
      <c r="B15" s="12" t="n"/>
      <c r="D15" t="n">
        <v>3</v>
      </c>
      <c r="E15" t="inlineStr">
        <is>
          <t>Mar10-Sep10</t>
        </is>
      </c>
      <c r="F15" t="inlineStr">
        <is>
          <t>2010-03-01</t>
        </is>
      </c>
      <c r="G15" t="inlineStr">
        <is>
          <t>2010-09-01</t>
        </is>
      </c>
      <c r="H15" s="13">
        <f>COUNTIFS($A:$A,"&gt;="&amp;DATEVALUE(F15),$A:$A,"&lt;="&amp;DATEVALUE(G15),$B:$B,"&lt;231")</f>
        <v/>
      </c>
      <c r="I15" s="13">
        <f>COUNTIFS($A:$A,"&gt;="&amp;DATEVALUE(F15),$A:$A,"&lt;="&amp;DATEVALUE(G15),$B:$B,"&lt;230")</f>
        <v/>
      </c>
      <c r="J15" s="13">
        <f>IFERROR(MINIFS($B:$B,$A:$A,"&gt;="&amp;DATEVALUE(F15),$A:$A,"&lt;="&amp;DATEVALUE(G15)),"")</f>
        <v/>
      </c>
      <c r="K15" t="n">
        <v>209341</v>
      </c>
    </row>
    <row r="16">
      <c r="A16" s="12" t="n"/>
      <c r="B16" s="12" t="n"/>
      <c r="D16" t="n">
        <v>4</v>
      </c>
      <c r="E16" t="inlineStr">
        <is>
          <t>Sep10-Abr11</t>
        </is>
      </c>
      <c r="F16" t="inlineStr">
        <is>
          <t>2010-09-01</t>
        </is>
      </c>
      <c r="G16" t="inlineStr">
        <is>
          <t>2011-04-01</t>
        </is>
      </c>
      <c r="H16" s="13">
        <f>COUNTIFS($A:$A,"&gt;="&amp;DATEVALUE(F16),$A:$A,"&lt;="&amp;DATEVALUE(G16),$B:$B,"&lt;231")</f>
        <v/>
      </c>
      <c r="I16" s="13">
        <f>COUNTIFS($A:$A,"&gt;="&amp;DATEVALUE(F16),$A:$A,"&lt;="&amp;DATEVALUE(G16),$B:$B,"&lt;230")</f>
        <v/>
      </c>
      <c r="J16" s="13">
        <f>IFERROR(MINIFS($B:$B,$A:$A,"&gt;="&amp;DATEVALUE(F16),$A:$A,"&lt;="&amp;DATEVALUE(G16)),"")</f>
        <v/>
      </c>
      <c r="K16" t="n">
        <v>95610</v>
      </c>
    </row>
    <row r="17">
      <c r="A17" s="12" t="n"/>
      <c r="B17" s="12" t="n"/>
      <c r="D17" t="n">
        <v>5</v>
      </c>
      <c r="E17" t="inlineStr">
        <is>
          <t>Abr11-Mar12</t>
        </is>
      </c>
      <c r="F17" t="inlineStr">
        <is>
          <t>2011-04-01</t>
        </is>
      </c>
      <c r="G17" t="inlineStr">
        <is>
          <t>2012-03-01</t>
        </is>
      </c>
      <c r="H17" s="13">
        <f>COUNTIFS($A:$A,"&gt;="&amp;DATEVALUE(F17),$A:$A,"&lt;="&amp;DATEVALUE(G17),$B:$B,"&lt;231")</f>
        <v/>
      </c>
      <c r="I17" s="13">
        <f>COUNTIFS($A:$A,"&gt;="&amp;DATEVALUE(F17),$A:$A,"&lt;="&amp;DATEVALUE(G17),$B:$B,"&lt;230")</f>
        <v/>
      </c>
      <c r="J17" s="13">
        <f>IFERROR(MINIFS($B:$B,$A:$A,"&gt;="&amp;DATEVALUE(F17),$A:$A,"&lt;="&amp;DATEVALUE(G17)),"")</f>
        <v/>
      </c>
      <c r="K17" t="n">
        <v>20630</v>
      </c>
    </row>
    <row r="18">
      <c r="A18" s="12" t="n"/>
      <c r="B18" s="12" t="n"/>
      <c r="D18" t="n">
        <v>6</v>
      </c>
      <c r="E18" t="inlineStr">
        <is>
          <t>Mar12-Jun13</t>
        </is>
      </c>
      <c r="F18" t="inlineStr">
        <is>
          <t>2012-03-01</t>
        </is>
      </c>
      <c r="G18" t="inlineStr">
        <is>
          <t>2013-06-01</t>
        </is>
      </c>
      <c r="H18" s="13">
        <f>COUNTIFS($A:$A,"&gt;="&amp;DATEVALUE(F18),$A:$A,"&lt;="&amp;DATEVALUE(G18),$B:$B,"&lt;231")</f>
        <v/>
      </c>
      <c r="I18" s="13">
        <f>COUNTIFS($A:$A,"&gt;="&amp;DATEVALUE(F18),$A:$A,"&lt;="&amp;DATEVALUE(G18),$B:$B,"&lt;230")</f>
        <v/>
      </c>
      <c r="J18" s="13">
        <f>IFERROR(MINIFS($B:$B,$A:$A,"&gt;="&amp;DATEVALUE(F18),$A:$A,"&lt;="&amp;DATEVALUE(G18)),"")</f>
        <v/>
      </c>
      <c r="K18" t="n">
        <v>9466</v>
      </c>
    </row>
    <row r="19">
      <c r="A19" s="12" t="n"/>
      <c r="B19" s="12" t="n"/>
      <c r="D19" t="n">
        <v>7</v>
      </c>
      <c r="E19" t="inlineStr">
        <is>
          <t>Jun13-Ene14</t>
        </is>
      </c>
      <c r="F19" t="inlineStr">
        <is>
          <t>2013-06-01</t>
        </is>
      </c>
      <c r="G19" t="inlineStr">
        <is>
          <t>2014-01-01</t>
        </is>
      </c>
      <c r="H19" s="13">
        <f>COUNTIFS($A:$A,"&gt;="&amp;DATEVALUE(F19),$A:$A,"&lt;="&amp;DATEVALUE(G19),$B:$B,"&lt;231")</f>
        <v/>
      </c>
      <c r="I19" s="13">
        <f>COUNTIFS($A:$A,"&gt;="&amp;DATEVALUE(F19),$A:$A,"&lt;="&amp;DATEVALUE(G19),$B:$B,"&lt;230")</f>
        <v/>
      </c>
      <c r="J19" s="13">
        <f>IFERROR(MINIFS($B:$B,$A:$A,"&gt;="&amp;DATEVALUE(F19),$A:$A,"&lt;="&amp;DATEVALUE(G19)),"")</f>
        <v/>
      </c>
      <c r="K19" t="n">
        <v>18983</v>
      </c>
    </row>
    <row r="20">
      <c r="A20" s="12" t="n"/>
      <c r="B20" s="12" t="n"/>
      <c r="D20" t="n">
        <v>8</v>
      </c>
      <c r="E20" t="inlineStr">
        <is>
          <t>Ene14-Ene15</t>
        </is>
      </c>
      <c r="F20" t="inlineStr">
        <is>
          <t>2014-01-01</t>
        </is>
      </c>
      <c r="G20" t="inlineStr">
        <is>
          <t>2015-01-01</t>
        </is>
      </c>
      <c r="H20" s="13">
        <f>COUNTIFS($A:$A,"&gt;="&amp;DATEVALUE(F20),$A:$A,"&lt;="&amp;DATEVALUE(G20),$B:$B,"&lt;231")</f>
        <v/>
      </c>
      <c r="I20" s="13">
        <f>COUNTIFS($A:$A,"&gt;="&amp;DATEVALUE(F20),$A:$A,"&lt;="&amp;DATEVALUE(G20),$B:$B,"&lt;230")</f>
        <v/>
      </c>
      <c r="J20" s="13">
        <f>IFERROR(MINIFS($B:$B,$A:$A,"&gt;="&amp;DATEVALUE(F20),$A:$A,"&lt;="&amp;DATEVALUE(G20)),"")</f>
        <v/>
      </c>
      <c r="K20" t="n">
        <v>16799</v>
      </c>
    </row>
    <row r="21">
      <c r="A21" s="12" t="n"/>
      <c r="B21" s="12" t="n"/>
      <c r="D21" t="n">
        <v>9</v>
      </c>
      <c r="E21" t="inlineStr">
        <is>
          <t>Ene15-Mar16</t>
        </is>
      </c>
      <c r="F21" t="inlineStr">
        <is>
          <t>2015-01-01</t>
        </is>
      </c>
      <c r="G21" t="inlineStr">
        <is>
          <t>2016-03-01</t>
        </is>
      </c>
      <c r="H21" s="13">
        <f>COUNTIFS($A:$A,"&gt;="&amp;DATEVALUE(F21),$A:$A,"&lt;="&amp;DATEVALUE(G21),$B:$B,"&lt;231")</f>
        <v/>
      </c>
      <c r="I21" s="13">
        <f>COUNTIFS($A:$A,"&gt;="&amp;DATEVALUE(F21),$A:$A,"&lt;="&amp;DATEVALUE(G21),$B:$B,"&lt;230")</f>
        <v/>
      </c>
      <c r="J21" s="13">
        <f>IFERROR(MINIFS($B:$B,$A:$A,"&gt;="&amp;DATEVALUE(F21),$A:$A,"&lt;="&amp;DATEVALUE(G21)),"")</f>
        <v/>
      </c>
      <c r="K21" t="n">
        <v>24736</v>
      </c>
    </row>
    <row r="22">
      <c r="A22" s="12" t="n"/>
      <c r="B22" s="12" t="n"/>
      <c r="D22" t="n">
        <v>10</v>
      </c>
      <c r="E22" t="inlineStr">
        <is>
          <t>Mar16-Jun17</t>
        </is>
      </c>
      <c r="F22" t="inlineStr">
        <is>
          <t>2016-03-01</t>
        </is>
      </c>
      <c r="G22" t="inlineStr">
        <is>
          <t>2017-06-01</t>
        </is>
      </c>
      <c r="H22" s="13">
        <f>COUNTIFS($A:$A,"&gt;="&amp;DATEVALUE(F22),$A:$A,"&lt;="&amp;DATEVALUE(G22),$B:$B,"&lt;231")</f>
        <v/>
      </c>
      <c r="I22" s="13">
        <f>COUNTIFS($A:$A,"&gt;="&amp;DATEVALUE(F22),$A:$A,"&lt;="&amp;DATEVALUE(G22),$B:$B,"&lt;230")</f>
        <v/>
      </c>
      <c r="J22" s="13">
        <f>IFERROR(MINIFS($B:$B,$A:$A,"&gt;="&amp;DATEVALUE(F22),$A:$A,"&lt;="&amp;DATEVALUE(G22)),"")</f>
        <v/>
      </c>
      <c r="K22" t="n">
        <v>13453</v>
      </c>
    </row>
    <row r="23">
      <c r="A23" s="12" t="n"/>
      <c r="B23" s="12" t="n"/>
      <c r="D23" t="n">
        <v>11</v>
      </c>
      <c r="E23" t="inlineStr">
        <is>
          <t>Jun17-Nov18</t>
        </is>
      </c>
      <c r="F23" t="inlineStr">
        <is>
          <t>2017-06-01</t>
        </is>
      </c>
      <c r="G23" t="inlineStr">
        <is>
          <t>2018-11-01</t>
        </is>
      </c>
      <c r="H23" s="13">
        <f>COUNTIFS($A:$A,"&gt;="&amp;DATEVALUE(F23),$A:$A,"&lt;="&amp;DATEVALUE(G23),$B:$B,"&lt;231")</f>
        <v/>
      </c>
      <c r="I23" s="13">
        <f>COUNTIFS($A:$A,"&gt;="&amp;DATEVALUE(F23),$A:$A,"&lt;="&amp;DATEVALUE(G23),$B:$B,"&lt;230")</f>
        <v/>
      </c>
      <c r="J23" s="13">
        <f>IFERROR(MINIFS($B:$B,$A:$A,"&gt;="&amp;DATEVALUE(F23),$A:$A,"&lt;="&amp;DATEVALUE(G23)),"")</f>
        <v/>
      </c>
      <c r="K23" t="n">
        <v>18467</v>
      </c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>
      <c r="A30" s="12" t="n"/>
      <c r="B30" s="12" t="n"/>
    </row>
    <row r="31">
      <c r="A31" s="12" t="n"/>
      <c r="B31" s="12" t="n"/>
    </row>
    <row r="32">
      <c r="A32" s="12" t="n"/>
      <c r="B32" s="12" t="n"/>
    </row>
    <row r="33">
      <c r="A33" s="12" t="n"/>
      <c r="B33" s="12" t="n"/>
    </row>
    <row r="34">
      <c r="A34" s="12" t="n"/>
      <c r="B34" s="12" t="n"/>
    </row>
    <row r="35">
      <c r="A35" s="12" t="n"/>
      <c r="B35" s="12" t="n"/>
    </row>
    <row r="36">
      <c r="A36" s="12" t="n"/>
      <c r="B36" s="12" t="n"/>
    </row>
    <row r="37">
      <c r="A37" s="12" t="n"/>
      <c r="B37" s="12" t="n"/>
    </row>
    <row r="38">
      <c r="A38" s="12" t="n"/>
      <c r="B38" s="12" t="n"/>
    </row>
    <row r="39">
      <c r="A39" s="12" t="n"/>
      <c r="B3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2026-08-14T02:00:28Z</dcterms:created>
  <dcterms:modified xsi:type="dcterms:W3CDTF">2026-08-14T02:00:28Z</dcterms:modified>
</cp:coreProperties>
</file>