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ME" sheetId="1" state="visible" r:id="rId1"/>
    <sheet name="Perfiles" sheetId="2" state="visible" r:id="rId2"/>
    <sheet name="Perfil_1" sheetId="3" state="visible" r:id="rId3"/>
    <sheet name="Perfil_2" sheetId="4" state="visible" r:id="rId4"/>
    <sheet name="Perfil_3" sheetId="5" state="visible" r:id="rId5"/>
    <sheet name="Perfil_4" sheetId="6" state="visible" r:id="rId6"/>
    <sheet name="Perfil_A" sheetId="7" state="visible" r:id="rId7"/>
    <sheet name="Perfil_B" sheetId="8" state="visible" r:id="rId8"/>
    <sheet name="Perfil_C" sheetId="9" state="visible" r:id="rId9"/>
    <sheet name="Geometria_cortes" sheetId="10" state="visible" r:id="rId10"/>
    <sheet name="Poligonos_erosion" sheetId="11" state="visible" r:id="rId11"/>
    <sheet name="Resumen_erosion" sheetId="12" state="visible" r:id="rId12"/>
    <sheet name="Volumenes" sheetId="13" state="visible" r:id="rId13"/>
    <sheet name="Progresivas" sheetId="14" state="visible" r:id="rId14"/>
    <sheet name="Hallazgos" sheetId="15" state="visible" r:id="rId15"/>
    <sheet name="Calibracion" sheetId="16" state="visible" r:id="rId16"/>
  </sheets>
  <definedNames>
    <definedName name="_xlnm._FilterDatabase" localSheetId="1" hidden="1">'Perfiles'!$A$1:$F$453</definedName>
    <definedName name="_xlnm._FilterDatabase" localSheetId="10" hidden="1">'Poligonos_erosion'!$A$4:$N$63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3"/>
    </font>
    <font>
      <b val="1"/>
      <color rgb="001F4E79"/>
      <sz val="11"/>
    </font>
    <font>
      <b val="1"/>
      <color rgb="00FFFFFF"/>
      <sz val="10"/>
    </font>
    <font>
      <i val="1"/>
      <sz val="9"/>
    </font>
    <font>
      <b val="1"/>
    </font>
    <font>
      <b val="1"/>
      <color rgb="00C00000"/>
      <sz val="9"/>
    </font>
    <font>
      <i val="1"/>
      <color rgb="00C00000"/>
      <sz val="9"/>
    </font>
    <font>
      <b val="1"/>
      <sz val="10"/>
    </font>
  </fonts>
  <fills count="6">
    <fill>
      <patternFill/>
    </fill>
    <fill>
      <patternFill patternType="gray125"/>
    </fill>
    <fill>
      <patternFill patternType="solid">
        <fgColor rgb="001F4E79"/>
      </patternFill>
    </fill>
    <fill>
      <patternFill patternType="solid">
        <fgColor rgb="00FFF2CC"/>
      </patternFill>
    </fill>
    <fill>
      <patternFill patternType="solid">
        <fgColor rgb="00D9D9D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pivotButton="0" quotePrefix="0" xfId="0"/>
    <xf numFmtId="0" fontId="5" fillId="0" borderId="0" pivotButton="0" quotePrefix="0" xfId="0"/>
    <xf numFmtId="0" fontId="5" fillId="0" borderId="1" pivotButton="0" quotePrefix="0" xfId="0"/>
    <xf numFmtId="0" fontId="0" fillId="3" borderId="1" pivotButton="0" quotePrefix="0" xfId="0"/>
    <xf numFmtId="0" fontId="6" fillId="0" borderId="0" pivotButton="0" quotePrefix="0" xfId="0"/>
    <xf numFmtId="0" fontId="5" fillId="4" borderId="0" pivotButton="0" quotePrefix="0" xfId="0"/>
    <xf numFmtId="0" fontId="7" fillId="0" borderId="0" pivotButton="0" quotePrefix="0" xfId="0"/>
    <xf numFmtId="0" fontId="0" fillId="5" borderId="1" pivotButton="0" quotePrefix="0" xfId="0"/>
    <xf numFmtId="0" fontId="8"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style val="13"/>
  <chart>
    <title>
      <tx>
        <rich>
          <a:bodyPr/>
          <a:p>
            <a:pPr>
              <a:defRPr/>
            </a:pPr>
            <a:r>
              <a:t>CORTE 1</a:t>
            </a:r>
          </a:p>
        </rich>
      </tx>
    </title>
    <plotArea>
      <scatterChart>
        <ser>
          <idx val="0"/>
          <order val="0"/>
          <tx>
            <strRef>
              <f>'Perfil_1'!B4</f>
            </strRef>
          </tx>
          <spPr>
            <a:ln>
              <a:prstDash val="solid"/>
            </a:ln>
          </spPr>
          <marker>
            <symbol val="circle"/>
            <size val="4"/>
            <spPr>
              <a:ln>
                <a:prstDash val="solid"/>
              </a:ln>
            </spPr>
          </marker>
          <xVal>
            <numRef>
              <f>'Perfil_1'!$A$5:$A$36</f>
            </numRef>
          </xVal>
          <yVal>
            <numRef>
              <f>'Perfil_1'!$B$5:$B$36</f>
            </numRef>
          </yVal>
        </ser>
        <axId val="10"/>
        <axId val="20"/>
      </scatterChart>
      <valAx>
        <axId val="10"/>
        <scaling>
          <orientation val="minMax"/>
        </scaling>
        <axPos val="l"/>
        <majorGridlines/>
        <title>
          <tx>
            <rich>
              <a:bodyPr/>
              <a:p>
                <a:pPr>
                  <a:defRPr/>
                </a:pPr>
                <a:r>
                  <a:t>Estación (m)</a:t>
                </a:r>
              </a:p>
            </rich>
          </tx>
        </title>
        <majorTickMark val="none"/>
        <minorTickMark val="none"/>
        <crossAx val="20"/>
      </valAx>
      <valAx>
        <axId val="20"/>
        <scaling>
          <orientation val="minMax"/>
          <max val="241"/>
          <min val="224"/>
        </scaling>
        <axPos val="l"/>
        <majorGridlines/>
        <title>
          <tx>
            <rich>
              <a:bodyPr/>
              <a:p>
                <a:pPr>
                  <a:defRPr/>
                </a:pPr>
                <a:r>
                  <a:t>Cota (m.s.n.m.)</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3"/>
  <chart>
    <title>
      <tx>
        <rich>
          <a:bodyPr/>
          <a:p>
            <a:pPr>
              <a:defRPr/>
            </a:pPr>
            <a:r>
              <a:t>CORTE 2</a:t>
            </a:r>
          </a:p>
        </rich>
      </tx>
    </title>
    <plotArea>
      <scatterChart>
        <ser>
          <idx val="0"/>
          <order val="0"/>
          <tx>
            <strRef>
              <f>'Perfil_2'!B4</f>
            </strRef>
          </tx>
          <spPr>
            <a:ln>
              <a:prstDash val="solid"/>
            </a:ln>
          </spPr>
          <marker>
            <symbol val="circle"/>
            <size val="4"/>
            <spPr>
              <a:ln>
                <a:prstDash val="solid"/>
              </a:ln>
            </spPr>
          </marker>
          <xVal>
            <numRef>
              <f>'Perfil_2'!$A$5:$A$35</f>
            </numRef>
          </xVal>
          <yVal>
            <numRef>
              <f>'Perfil_2'!$B$5:$B$35</f>
            </numRef>
          </yVal>
        </ser>
        <axId val="10"/>
        <axId val="20"/>
      </scatterChart>
      <valAx>
        <axId val="10"/>
        <scaling>
          <orientation val="minMax"/>
        </scaling>
        <axPos val="l"/>
        <majorGridlines/>
        <title>
          <tx>
            <rich>
              <a:bodyPr/>
              <a:p>
                <a:pPr>
                  <a:defRPr/>
                </a:pPr>
                <a:r>
                  <a:t>Estación (m)</a:t>
                </a:r>
              </a:p>
            </rich>
          </tx>
        </title>
        <majorTickMark val="none"/>
        <minorTickMark val="none"/>
        <crossAx val="20"/>
      </valAx>
      <valAx>
        <axId val="20"/>
        <scaling>
          <orientation val="minMax"/>
          <max val="245"/>
          <min val="230"/>
        </scaling>
        <axPos val="l"/>
        <majorGridlines/>
        <title>
          <tx>
            <rich>
              <a:bodyPr/>
              <a:p>
                <a:pPr>
                  <a:defRPr/>
                </a:pPr>
                <a:r>
                  <a:t>Cota (m.s.n.m.)</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CORTE 3</a:t>
            </a:r>
          </a:p>
        </rich>
      </tx>
    </title>
    <plotArea>
      <scatterChart>
        <ser>
          <idx val="0"/>
          <order val="0"/>
          <tx>
            <strRef>
              <f>'Perfil_3'!B4</f>
            </strRef>
          </tx>
          <spPr>
            <a:ln>
              <a:prstDash val="solid"/>
            </a:ln>
          </spPr>
          <marker>
            <symbol val="circle"/>
            <size val="4"/>
            <spPr>
              <a:ln>
                <a:prstDash val="solid"/>
              </a:ln>
            </spPr>
          </marker>
          <xVal>
            <numRef>
              <f>'Perfil_3'!$A$5:$A$43</f>
            </numRef>
          </xVal>
          <yVal>
            <numRef>
              <f>'Perfil_3'!$B$5:$B$43</f>
            </numRef>
          </yVal>
        </ser>
        <axId val="10"/>
        <axId val="20"/>
      </scatterChart>
      <valAx>
        <axId val="10"/>
        <scaling>
          <orientation val="minMax"/>
        </scaling>
        <axPos val="l"/>
        <majorGridlines/>
        <title>
          <tx>
            <rich>
              <a:bodyPr/>
              <a:p>
                <a:pPr>
                  <a:defRPr/>
                </a:pPr>
                <a:r>
                  <a:t>Estación (m)</a:t>
                </a:r>
              </a:p>
            </rich>
          </tx>
        </title>
        <majorTickMark val="none"/>
        <minorTickMark val="none"/>
        <crossAx val="20"/>
      </valAx>
      <valAx>
        <axId val="20"/>
        <scaling>
          <orientation val="minMax"/>
          <max val="247"/>
          <min val="234"/>
        </scaling>
        <axPos val="l"/>
        <majorGridlines/>
        <title>
          <tx>
            <rich>
              <a:bodyPr/>
              <a:p>
                <a:pPr>
                  <a:defRPr/>
                </a:pPr>
                <a:r>
                  <a:t>Cota (m.s.n.m.)</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CORTE 4</a:t>
            </a:r>
          </a:p>
        </rich>
      </tx>
    </title>
    <plotArea>
      <scatterChart>
        <ser>
          <idx val="0"/>
          <order val="0"/>
          <tx>
            <strRef>
              <f>'Perfil_4'!B4</f>
            </strRef>
          </tx>
          <spPr>
            <a:ln>
              <a:prstDash val="solid"/>
            </a:ln>
          </spPr>
          <marker>
            <symbol val="circle"/>
            <size val="4"/>
            <spPr>
              <a:ln>
                <a:prstDash val="solid"/>
              </a:ln>
            </spPr>
          </marker>
          <xVal>
            <numRef>
              <f>'Perfil_4'!$A$5:$A$26</f>
            </numRef>
          </xVal>
          <yVal>
            <numRef>
              <f>'Perfil_4'!$B$5:$B$26</f>
            </numRef>
          </yVal>
        </ser>
        <axId val="10"/>
        <axId val="20"/>
      </scatterChart>
      <valAx>
        <axId val="10"/>
        <scaling>
          <orientation val="minMax"/>
        </scaling>
        <axPos val="l"/>
        <majorGridlines/>
        <title>
          <tx>
            <rich>
              <a:bodyPr/>
              <a:p>
                <a:pPr>
                  <a:defRPr/>
                </a:pPr>
                <a:r>
                  <a:t>Estación (m)</a:t>
                </a:r>
              </a:p>
            </rich>
          </tx>
        </title>
        <majorTickMark val="none"/>
        <minorTickMark val="none"/>
        <crossAx val="20"/>
      </valAx>
      <valAx>
        <axId val="20"/>
        <scaling>
          <orientation val="minMax"/>
          <max val="248"/>
          <min val="238"/>
        </scaling>
        <axPos val="l"/>
        <majorGridlines/>
        <title>
          <tx>
            <rich>
              <a:bodyPr/>
              <a:p>
                <a:pPr>
                  <a:defRPr/>
                </a:pPr>
                <a:r>
                  <a:t>Cota (m.s.n.m.)</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CORTE A</a:t>
            </a:r>
          </a:p>
        </rich>
      </tx>
    </title>
    <plotArea>
      <scatterChart>
        <ser>
          <idx val="0"/>
          <order val="0"/>
          <tx>
            <strRef>
              <f>'Perfil_A'!B4</f>
            </strRef>
          </tx>
          <spPr>
            <a:ln>
              <a:prstDash val="solid"/>
            </a:ln>
          </spPr>
          <marker>
            <symbol val="circle"/>
            <size val="4"/>
            <spPr>
              <a:ln>
                <a:prstDash val="solid"/>
              </a:ln>
            </spPr>
          </marker>
          <xVal>
            <numRef>
              <f>'Perfil_A'!$A$5:$A$41</f>
            </numRef>
          </xVal>
          <yVal>
            <numRef>
              <f>'Perfil_A'!$B$5:$B$41</f>
            </numRef>
          </yVal>
        </ser>
        <axId val="10"/>
        <axId val="20"/>
      </scatterChart>
      <valAx>
        <axId val="10"/>
        <scaling>
          <orientation val="minMax"/>
        </scaling>
        <axPos val="l"/>
        <majorGridlines/>
        <title>
          <tx>
            <rich>
              <a:bodyPr/>
              <a:p>
                <a:pPr>
                  <a:defRPr/>
                </a:pPr>
                <a:r>
                  <a:t>Estación (m)</a:t>
                </a:r>
              </a:p>
            </rich>
          </tx>
        </title>
        <majorTickMark val="none"/>
        <minorTickMark val="none"/>
        <crossAx val="20"/>
      </valAx>
      <valAx>
        <axId val="20"/>
        <scaling>
          <orientation val="minMax"/>
          <max val="243"/>
          <min val="226"/>
        </scaling>
        <axPos val="l"/>
        <majorGridlines/>
        <title>
          <tx>
            <rich>
              <a:bodyPr/>
              <a:p>
                <a:pPr>
                  <a:defRPr/>
                </a:pPr>
                <a:r>
                  <a:t>Cota (m.s.n.m.)</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13"/>
  <chart>
    <title>
      <tx>
        <rich>
          <a:bodyPr/>
          <a:p>
            <a:pPr>
              <a:defRPr/>
            </a:pPr>
            <a:r>
              <a:t>CORTE B</a:t>
            </a:r>
          </a:p>
        </rich>
      </tx>
    </title>
    <plotArea>
      <scatterChart>
        <ser>
          <idx val="0"/>
          <order val="0"/>
          <tx>
            <strRef>
              <f>'Perfil_B'!B4</f>
            </strRef>
          </tx>
          <spPr>
            <a:ln>
              <a:prstDash val="solid"/>
            </a:ln>
          </spPr>
          <marker>
            <symbol val="circle"/>
            <size val="4"/>
            <spPr>
              <a:ln>
                <a:prstDash val="solid"/>
              </a:ln>
            </spPr>
          </marker>
          <xVal>
            <numRef>
              <f>'Perfil_B'!$A$5:$A$47</f>
            </numRef>
          </xVal>
          <yVal>
            <numRef>
              <f>'Perfil_B'!$B$5:$B$47</f>
            </numRef>
          </yVal>
        </ser>
        <axId val="10"/>
        <axId val="20"/>
      </scatterChart>
      <valAx>
        <axId val="10"/>
        <scaling>
          <orientation val="minMax"/>
        </scaling>
        <axPos val="l"/>
        <majorGridlines/>
        <title>
          <tx>
            <rich>
              <a:bodyPr/>
              <a:p>
                <a:pPr>
                  <a:defRPr/>
                </a:pPr>
                <a:r>
                  <a:t>Estación (m)</a:t>
                </a:r>
              </a:p>
            </rich>
          </tx>
        </title>
        <majorTickMark val="none"/>
        <minorTickMark val="none"/>
        <crossAx val="20"/>
      </valAx>
      <valAx>
        <axId val="20"/>
        <scaling>
          <orientation val="minMax"/>
          <max val="247"/>
          <min val="231"/>
        </scaling>
        <axPos val="l"/>
        <majorGridlines/>
        <title>
          <tx>
            <rich>
              <a:bodyPr/>
              <a:p>
                <a:pPr>
                  <a:defRPr/>
                </a:pPr>
                <a:r>
                  <a:t>Cota (m.s.n.m.)</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style val="13"/>
  <chart>
    <title>
      <tx>
        <rich>
          <a:bodyPr/>
          <a:p>
            <a:pPr>
              <a:defRPr/>
            </a:pPr>
            <a:r>
              <a:t>CORTE C</a:t>
            </a:r>
          </a:p>
        </rich>
      </tx>
    </title>
    <plotArea>
      <scatterChart>
        <ser>
          <idx val="0"/>
          <order val="0"/>
          <tx>
            <strRef>
              <f>'Perfil_C'!B4</f>
            </strRef>
          </tx>
          <spPr>
            <a:ln>
              <a:prstDash val="solid"/>
            </a:ln>
          </spPr>
          <marker>
            <symbol val="circle"/>
            <size val="4"/>
            <spPr>
              <a:ln>
                <a:prstDash val="solid"/>
              </a:ln>
            </spPr>
          </marker>
          <xVal>
            <numRef>
              <f>'Perfil_C'!$A$5:$A$26</f>
            </numRef>
          </xVal>
          <yVal>
            <numRef>
              <f>'Perfil_C'!$B$5:$B$26</f>
            </numRef>
          </yVal>
        </ser>
        <axId val="10"/>
        <axId val="20"/>
      </scatterChart>
      <valAx>
        <axId val="10"/>
        <scaling>
          <orientation val="minMax"/>
        </scaling>
        <axPos val="l"/>
        <majorGridlines/>
        <title>
          <tx>
            <rich>
              <a:bodyPr/>
              <a:p>
                <a:pPr>
                  <a:defRPr/>
                </a:pPr>
                <a:r>
                  <a:t>Estación (m)</a:t>
                </a:r>
              </a:p>
            </rich>
          </tx>
        </title>
        <majorTickMark val="none"/>
        <minorTickMark val="none"/>
        <crossAx val="20"/>
      </valAx>
      <valAx>
        <axId val="20"/>
        <scaling>
          <orientation val="minMax"/>
          <max val="251"/>
          <min val="242"/>
        </scaling>
        <axPos val="l"/>
        <majorGridlines/>
        <title>
          <tx>
            <rich>
              <a:bodyPr/>
              <a:p>
                <a:pPr>
                  <a:defRPr/>
                </a:pPr>
                <a:r>
                  <a:t>Cota (m.s.n.m.)</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B2:B51"/>
  <sheetViews>
    <sheetView workbookViewId="0">
      <selection activeCell="A1" sqref="A1"/>
    </sheetView>
  </sheetViews>
  <sheetFormatPr baseColWidth="8" defaultRowHeight="15"/>
  <cols>
    <col width="4" customWidth="1" min="1" max="1"/>
    <col width="112" customWidth="1" min="2" max="2"/>
  </cols>
  <sheetData>
    <row r="2">
      <c r="B2" s="1" t="inlineStr">
        <is>
          <t>Río Negro — Lago Chapo | Perfiles de monitoreo extraídos de los DWG</t>
        </is>
      </c>
    </row>
    <row r="4">
      <c r="B4" t="inlineStr"/>
    </row>
    <row r="5">
      <c r="B5" s="2" t="inlineStr">
        <is>
          <t>ORIGEN DE LOS DATOS</t>
        </is>
      </c>
    </row>
    <row r="6">
      <c r="B6" t="inlineStr">
        <is>
          <t>Los DWG originales se convirtieron a DXF con LibreDWG (dwg2dxf 0.14), compilado</t>
        </is>
      </c>
    </row>
    <row r="7">
      <c r="B7" t="inlineStr">
        <is>
          <t>desde el código fuente. Los perfiles se leyeron con la librería ezdxf.</t>
        </is>
      </c>
    </row>
    <row r="8">
      <c r="B8" t="inlineStr">
        <is>
          <t>Archivos: '2014 01 Perfiles Monitoreo RNegro b.dwg' y '2018 11 Perfiles Monitoreo RNegro.dwg'.</t>
        </is>
      </c>
    </row>
    <row r="9">
      <c r="B9" t="inlineStr"/>
    </row>
    <row r="10">
      <c r="B10" s="2" t="inlineStr">
        <is>
          <t>ESCALAS Y EXAGERACIÓN VERTICAL  (importante)</t>
        </is>
      </c>
    </row>
    <row r="11">
      <c r="B11" t="inlineStr">
        <is>
          <t>Los gráficos de perfil están dibujados con exageración vertical ×10:</t>
        </is>
      </c>
    </row>
    <row r="12">
      <c r="B12" t="inlineStr">
        <is>
          <t xml:space="preserve">    horizontal : 1 unidad de dibujo = 1 m</t>
        </is>
      </c>
    </row>
    <row r="13">
      <c r="B13" t="inlineStr">
        <is>
          <t xml:space="preserve">    vertical   : 10 unidades de dibujo = 1 m</t>
        </is>
      </c>
    </row>
    <row r="14">
      <c r="B14" t="inlineStr">
        <is>
          <t>La escala horizontal se verificó comparando el ancho del gráfico (625.9 u) con la</t>
        </is>
      </c>
    </row>
    <row r="15">
      <c r="B15" t="inlineStr">
        <is>
          <t>longitud real de la traza del corte en planta (626 m, en coordenadas UTM).</t>
        </is>
      </c>
    </row>
    <row r="16">
      <c r="B16" t="inlineStr">
        <is>
          <t>La escala vertical se calibró en cada gráfico con las etiquetas del eje de cotas;</t>
        </is>
      </c>
    </row>
    <row r="17">
      <c r="B17" t="inlineStr">
        <is>
          <t>el residuo máximo del ajuste es de 0.04 m (ver hoja 'Calibracion').</t>
        </is>
      </c>
    </row>
    <row r="18">
      <c r="B18" t="inlineStr">
        <is>
          <t>Consecuencia: las áreas medidas en unidades de dibujo equivalen a 10× el área real,</t>
        </is>
      </c>
    </row>
    <row r="19">
      <c r="B19" t="inlineStr">
        <is>
          <t>porque solo el eje vertical está exagerado. Todas las áreas de este libro ya están</t>
        </is>
      </c>
    </row>
    <row r="20">
      <c r="B20" t="inlineStr">
        <is>
          <t>corregidas y expresadas en m² reales.</t>
        </is>
      </c>
    </row>
    <row r="21">
      <c r="B21" t="inlineStr"/>
    </row>
    <row r="22">
      <c r="B22" s="2" t="inlineStr">
        <is>
          <t>HALLAZGO PRINCIPAL</t>
        </is>
      </c>
    </row>
    <row r="23">
      <c r="B23" t="inlineStr">
        <is>
          <t>Las 7 líneas de terreno son IDÉNTICAS en ambos DWG (mismo número de vértices y las</t>
        </is>
      </c>
    </row>
    <row r="24">
      <c r="B24" t="inlineStr">
        <is>
          <t>mismas coordenadas). Es decir, el dibujo no contiene dos levantamientos distintos:</t>
        </is>
      </c>
    </row>
    <row r="25">
      <c r="B25" t="inlineStr">
        <is>
          <t>contiene UNA geometría de referencia común, sobre la que cada plano superpone los</t>
        </is>
      </c>
    </row>
    <row r="26">
      <c r="B26" t="inlineStr">
        <is>
          <t>polígonos de erosión de su período. Esto coincide con lo señalado por el encargo:</t>
        </is>
      </c>
    </row>
    <row r="27">
      <c r="B27" t="inlineStr">
        <is>
          <t>«los perfiles son los mismos pero cambia la erosión presentada en cada período».</t>
        </is>
      </c>
    </row>
    <row r="28">
      <c r="B28" t="inlineStr"/>
    </row>
    <row r="29">
      <c r="B29" s="2" t="inlineStr">
        <is>
          <t>QUÉ PERMITE Y QUÉ NO PERMITE ESTE DATO</t>
        </is>
      </c>
    </row>
    <row r="30">
      <c r="B30" t="inlineStr">
        <is>
          <t>SÍ permite: caracterizar la geometría de las 7 secciones, calcular su capacidad a</t>
        </is>
      </c>
    </row>
    <row r="31">
      <c r="B31" t="inlineStr">
        <is>
          <t xml:space="preserve">   distintos niveles del lago, e inventariar las áreas de erosión dibujadas.</t>
        </is>
      </c>
    </row>
    <row r="32">
      <c r="B32" t="inlineStr">
        <is>
          <t>NO permite: calcular la variación de volumen del cauce por diferencia de</t>
        </is>
      </c>
    </row>
    <row r="33">
      <c r="B33" t="inlineStr">
        <is>
          <t xml:space="preserve">   levantamientos, porque no hay dos superficies topográficas distintas.</t>
        </is>
      </c>
    </row>
    <row r="34">
      <c r="B34" t="inlineStr">
        <is>
          <t>Para eso se requieren los levantamientos por año (2009, 2011, 2014, 2018) como</t>
        </is>
      </c>
    </row>
    <row r="35">
      <c r="B35" t="inlineStr">
        <is>
          <t>superficies independientes, o los perfiles crudos de cada campaña.</t>
        </is>
      </c>
    </row>
    <row r="36">
      <c r="B36" t="inlineStr"/>
    </row>
    <row r="37">
      <c r="B37" s="2" t="inlineStr">
        <is>
          <t>ADVERTENCIA SOBRE LOS POLÍGONOS DE EROSIÓN</t>
        </is>
      </c>
    </row>
    <row r="38">
      <c r="B38" t="inlineStr">
        <is>
          <t>Los polígonos de la hoja 'Poligonos_erosion' se extrajeron tal como están dibujados.</t>
        </is>
      </c>
    </row>
    <row r="39">
      <c r="B39" t="inlineStr">
        <is>
          <t>Se reporta la capa de origen de cada uno para que se pueda auditar: los de la capa</t>
        </is>
      </c>
    </row>
    <row r="40">
      <c r="B40" t="inlineStr">
        <is>
          <t>'texto' son con alta probabilidad anotaciones y no áreas erosionadas, y no deben</t>
        </is>
      </c>
    </row>
    <row r="41">
      <c r="B41" t="inlineStr">
        <is>
          <t>sumarse. La semántica exacta de cada polígono debe confirmarse con el autor del plano</t>
        </is>
      </c>
    </row>
    <row r="42">
      <c r="B42" t="inlineStr">
        <is>
          <t>antes de usar estas áreas como resultado.</t>
        </is>
      </c>
    </row>
    <row r="43">
      <c r="B43" t="inlineStr"/>
    </row>
    <row r="44">
      <c r="B44" s="2" t="inlineStr">
        <is>
          <t>CONTENIDO DEL LIBRO</t>
        </is>
      </c>
    </row>
    <row r="45">
      <c r="B45" t="inlineStr">
        <is>
          <t>Perfiles          — estación y cota de los 7 cortes (formato largo, para tablas dinámicas)</t>
        </is>
      </c>
    </row>
    <row r="46">
      <c r="B46" t="inlineStr">
        <is>
          <t>Perfil_&lt;corte&gt;    — una hoja por corte, con gráfico de la sección</t>
        </is>
      </c>
    </row>
    <row r="47">
      <c r="B47" t="inlineStr">
        <is>
          <t>Geometria_cortes  — resumen morfométrico y capacidad a los niveles del lago</t>
        </is>
      </c>
    </row>
    <row r="48">
      <c r="B48" t="inlineStr">
        <is>
          <t>Poligonos_erosion — inventario de polígonos dibujados, con área real en m²</t>
        </is>
      </c>
    </row>
    <row r="49">
      <c r="B49" t="inlineStr">
        <is>
          <t>Resumen_erosion   — área de erosión por corte y plano</t>
        </is>
      </c>
    </row>
    <row r="50">
      <c r="B50" t="inlineStr">
        <is>
          <t>Volumenes         — plantilla con fórmulas: ingrese las distancias y calcula volúmenes</t>
        </is>
      </c>
    </row>
    <row r="51">
      <c r="B51" t="inlineStr">
        <is>
          <t>Calibracion       — evidencia de la calibración de escalas, auditable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8" customWidth="1" min="4" max="4"/>
    <col width="13" customWidth="1" min="5" max="5"/>
    <col width="13" customWidth="1" min="6" max="6"/>
  </cols>
  <sheetData>
    <row r="1">
      <c r="A1" s="3" t="inlineStr">
        <is>
          <t>Plano</t>
        </is>
      </c>
      <c r="B1" s="3" t="inlineStr">
        <is>
          <t>Fecha</t>
        </is>
      </c>
      <c r="C1" s="3" t="inlineStr">
        <is>
          <t>Corte</t>
        </is>
      </c>
      <c r="D1" s="3" t="inlineStr">
        <is>
          <t>Punto</t>
        </is>
      </c>
      <c r="E1" s="3" t="inlineStr">
        <is>
          <t>Estacion_m</t>
        </is>
      </c>
      <c r="F1" s="3" t="inlineStr">
        <is>
          <t>Cota_msnm</t>
        </is>
      </c>
    </row>
    <row r="2">
      <c r="A2" t="inlineStr">
        <is>
          <t>2014-01</t>
        </is>
      </c>
      <c r="B2" t="inlineStr">
        <is>
          <t>enero 2014</t>
        </is>
      </c>
      <c r="C2" t="inlineStr">
        <is>
          <t>1</t>
        </is>
      </c>
      <c r="D2" t="n">
        <v>1</v>
      </c>
      <c r="E2" t="n">
        <v>0</v>
      </c>
      <c r="F2" t="n">
        <v>230.602</v>
      </c>
    </row>
    <row r="3">
      <c r="A3" t="inlineStr">
        <is>
          <t>2014-01</t>
        </is>
      </c>
      <c r="B3" t="inlineStr">
        <is>
          <t>enero 2014</t>
        </is>
      </c>
      <c r="C3" t="inlineStr">
        <is>
          <t>1</t>
        </is>
      </c>
      <c r="D3" t="n">
        <v>2</v>
      </c>
      <c r="E3" t="n">
        <v>43.468</v>
      </c>
      <c r="F3" t="n">
        <v>232.557</v>
      </c>
    </row>
    <row r="4">
      <c r="A4" t="inlineStr">
        <is>
          <t>2014-01</t>
        </is>
      </c>
      <c r="B4" t="inlineStr">
        <is>
          <t>enero 2014</t>
        </is>
      </c>
      <c r="C4" t="inlineStr">
        <is>
          <t>1</t>
        </is>
      </c>
      <c r="D4" t="n">
        <v>3</v>
      </c>
      <c r="E4" t="n">
        <v>61.808</v>
      </c>
      <c r="F4" t="n">
        <v>234.373</v>
      </c>
    </row>
    <row r="5">
      <c r="A5" t="inlineStr">
        <is>
          <t>2014-01</t>
        </is>
      </c>
      <c r="B5" t="inlineStr">
        <is>
          <t>enero 2014</t>
        </is>
      </c>
      <c r="C5" t="inlineStr">
        <is>
          <t>1</t>
        </is>
      </c>
      <c r="D5" t="n">
        <v>4</v>
      </c>
      <c r="E5" t="n">
        <v>98.715</v>
      </c>
      <c r="F5" t="n">
        <v>237.492</v>
      </c>
    </row>
    <row r="6">
      <c r="A6" t="inlineStr">
        <is>
          <t>2014-01</t>
        </is>
      </c>
      <c r="B6" t="inlineStr">
        <is>
          <t>enero 2014</t>
        </is>
      </c>
      <c r="C6" t="inlineStr">
        <is>
          <t>1</t>
        </is>
      </c>
      <c r="D6" t="n">
        <v>5</v>
      </c>
      <c r="E6" t="n">
        <v>119.332</v>
      </c>
      <c r="F6" t="n">
        <v>239.153</v>
      </c>
    </row>
    <row r="7">
      <c r="A7" t="inlineStr">
        <is>
          <t>2014-01</t>
        </is>
      </c>
      <c r="B7" t="inlineStr">
        <is>
          <t>enero 2014</t>
        </is>
      </c>
      <c r="C7" t="inlineStr">
        <is>
          <t>1</t>
        </is>
      </c>
      <c r="D7" t="n">
        <v>6</v>
      </c>
      <c r="E7" t="n">
        <v>125.28</v>
      </c>
      <c r="F7" t="n">
        <v>239.716</v>
      </c>
    </row>
    <row r="8">
      <c r="A8" t="inlineStr">
        <is>
          <t>2014-01</t>
        </is>
      </c>
      <c r="B8" t="inlineStr">
        <is>
          <t>enero 2014</t>
        </is>
      </c>
      <c r="C8" t="inlineStr">
        <is>
          <t>1</t>
        </is>
      </c>
      <c r="D8" t="n">
        <v>7</v>
      </c>
      <c r="E8" t="n">
        <v>169.379</v>
      </c>
      <c r="F8" t="n">
        <v>239.587</v>
      </c>
    </row>
    <row r="9">
      <c r="A9" t="inlineStr">
        <is>
          <t>2014-01</t>
        </is>
      </c>
      <c r="B9" t="inlineStr">
        <is>
          <t>enero 2014</t>
        </is>
      </c>
      <c r="C9" t="inlineStr">
        <is>
          <t>1</t>
        </is>
      </c>
      <c r="D9" t="n">
        <v>8</v>
      </c>
      <c r="E9" t="n">
        <v>172.381</v>
      </c>
      <c r="F9" t="n">
        <v>239.548</v>
      </c>
    </row>
    <row r="10">
      <c r="A10" t="inlineStr">
        <is>
          <t>2014-01</t>
        </is>
      </c>
      <c r="B10" t="inlineStr">
        <is>
          <t>enero 2014</t>
        </is>
      </c>
      <c r="C10" t="inlineStr">
        <is>
          <t>1</t>
        </is>
      </c>
      <c r="D10" t="n">
        <v>9</v>
      </c>
      <c r="E10" t="n">
        <v>176.531</v>
      </c>
      <c r="F10" t="n">
        <v>239.542</v>
      </c>
    </row>
    <row r="11">
      <c r="A11" t="inlineStr">
        <is>
          <t>2014-01</t>
        </is>
      </c>
      <c r="B11" t="inlineStr">
        <is>
          <t>enero 2014</t>
        </is>
      </c>
      <c r="C11" t="inlineStr">
        <is>
          <t>1</t>
        </is>
      </c>
      <c r="D11" t="n">
        <v>10</v>
      </c>
      <c r="E11" t="n">
        <v>217.091</v>
      </c>
      <c r="F11" t="n">
        <v>239.922</v>
      </c>
    </row>
    <row r="12">
      <c r="A12" t="inlineStr">
        <is>
          <t>2014-01</t>
        </is>
      </c>
      <c r="B12" t="inlineStr">
        <is>
          <t>enero 2014</t>
        </is>
      </c>
      <c r="C12" t="inlineStr">
        <is>
          <t>1</t>
        </is>
      </c>
      <c r="D12" t="n">
        <v>11</v>
      </c>
      <c r="E12" t="n">
        <v>237.287</v>
      </c>
      <c r="F12" t="n">
        <v>227.242</v>
      </c>
    </row>
    <row r="13">
      <c r="A13" t="inlineStr">
        <is>
          <t>2014-01</t>
        </is>
      </c>
      <c r="B13" t="inlineStr">
        <is>
          <t>enero 2014</t>
        </is>
      </c>
      <c r="C13" t="inlineStr">
        <is>
          <t>1</t>
        </is>
      </c>
      <c r="D13" t="n">
        <v>12</v>
      </c>
      <c r="E13" t="n">
        <v>239.522</v>
      </c>
      <c r="F13" t="n">
        <v>226.007</v>
      </c>
    </row>
    <row r="14">
      <c r="A14" t="inlineStr">
        <is>
          <t>2014-01</t>
        </is>
      </c>
      <c r="B14" t="inlineStr">
        <is>
          <t>enero 2014</t>
        </is>
      </c>
      <c r="C14" t="inlineStr">
        <is>
          <t>1</t>
        </is>
      </c>
      <c r="D14" t="n">
        <v>13</v>
      </c>
      <c r="E14" t="n">
        <v>239.522</v>
      </c>
      <c r="F14" t="n">
        <v>226.007</v>
      </c>
    </row>
    <row r="15">
      <c r="A15" t="inlineStr">
        <is>
          <t>2014-01</t>
        </is>
      </c>
      <c r="B15" t="inlineStr">
        <is>
          <t>enero 2014</t>
        </is>
      </c>
      <c r="C15" t="inlineStr">
        <is>
          <t>1</t>
        </is>
      </c>
      <c r="D15" t="n">
        <v>14</v>
      </c>
      <c r="E15" t="n">
        <v>243.223</v>
      </c>
      <c r="F15" t="n">
        <v>225.804</v>
      </c>
    </row>
    <row r="16">
      <c r="A16" t="inlineStr">
        <is>
          <t>2014-01</t>
        </is>
      </c>
      <c r="B16" t="inlineStr">
        <is>
          <t>enero 2014</t>
        </is>
      </c>
      <c r="C16" t="inlineStr">
        <is>
          <t>1</t>
        </is>
      </c>
      <c r="D16" t="n">
        <v>15</v>
      </c>
      <c r="E16" t="n">
        <v>262.412</v>
      </c>
      <c r="F16" t="n">
        <v>225.695</v>
      </c>
    </row>
    <row r="17">
      <c r="A17" t="inlineStr">
        <is>
          <t>2014-01</t>
        </is>
      </c>
      <c r="B17" t="inlineStr">
        <is>
          <t>enero 2014</t>
        </is>
      </c>
      <c r="C17" t="inlineStr">
        <is>
          <t>1</t>
        </is>
      </c>
      <c r="D17" t="n">
        <v>16</v>
      </c>
      <c r="E17" t="n">
        <v>284.234</v>
      </c>
      <c r="F17" t="n">
        <v>225.795</v>
      </c>
    </row>
    <row r="18">
      <c r="A18" t="inlineStr">
        <is>
          <t>2014-01</t>
        </is>
      </c>
      <c r="B18" t="inlineStr">
        <is>
          <t>enero 2014</t>
        </is>
      </c>
      <c r="C18" t="inlineStr">
        <is>
          <t>1</t>
        </is>
      </c>
      <c r="D18" t="n">
        <v>17</v>
      </c>
      <c r="E18" t="n">
        <v>298.775</v>
      </c>
      <c r="F18" t="n">
        <v>225.723</v>
      </c>
    </row>
    <row r="19">
      <c r="A19" t="inlineStr">
        <is>
          <t>2014-01</t>
        </is>
      </c>
      <c r="B19" t="inlineStr">
        <is>
          <t>enero 2014</t>
        </is>
      </c>
      <c r="C19" t="inlineStr">
        <is>
          <t>1</t>
        </is>
      </c>
      <c r="D19" t="n">
        <v>18</v>
      </c>
      <c r="E19" t="n">
        <v>307.354</v>
      </c>
      <c r="F19" t="n">
        <v>225.836</v>
      </c>
    </row>
    <row r="20">
      <c r="A20" t="inlineStr">
        <is>
          <t>2014-01</t>
        </is>
      </c>
      <c r="B20" t="inlineStr">
        <is>
          <t>enero 2014</t>
        </is>
      </c>
      <c r="C20" t="inlineStr">
        <is>
          <t>1</t>
        </is>
      </c>
      <c r="D20" t="n">
        <v>19</v>
      </c>
      <c r="E20" t="n">
        <v>314.111</v>
      </c>
      <c r="F20" t="n">
        <v>228.274</v>
      </c>
    </row>
    <row r="21">
      <c r="A21" t="inlineStr">
        <is>
          <t>2014-01</t>
        </is>
      </c>
      <c r="B21" t="inlineStr">
        <is>
          <t>enero 2014</t>
        </is>
      </c>
      <c r="C21" t="inlineStr">
        <is>
          <t>1</t>
        </is>
      </c>
      <c r="D21" t="n">
        <v>20</v>
      </c>
      <c r="E21" t="n">
        <v>327.952</v>
      </c>
      <c r="F21" t="n">
        <v>228.912</v>
      </c>
    </row>
    <row r="22">
      <c r="A22" t="inlineStr">
        <is>
          <t>2014-01</t>
        </is>
      </c>
      <c r="B22" t="inlineStr">
        <is>
          <t>enero 2014</t>
        </is>
      </c>
      <c r="C22" t="inlineStr">
        <is>
          <t>1</t>
        </is>
      </c>
      <c r="D22" t="n">
        <v>21</v>
      </c>
      <c r="E22" t="n">
        <v>330.656</v>
      </c>
      <c r="F22" t="n">
        <v>229.787</v>
      </c>
    </row>
    <row r="23">
      <c r="A23" t="inlineStr">
        <is>
          <t>2014-01</t>
        </is>
      </c>
      <c r="B23" t="inlineStr">
        <is>
          <t>enero 2014</t>
        </is>
      </c>
      <c r="C23" t="inlineStr">
        <is>
          <t>1</t>
        </is>
      </c>
      <c r="D23" t="n">
        <v>22</v>
      </c>
      <c r="E23" t="n">
        <v>337.67</v>
      </c>
      <c r="F23" t="n">
        <v>229.73</v>
      </c>
    </row>
    <row r="24">
      <c r="A24" t="inlineStr">
        <is>
          <t>2014-01</t>
        </is>
      </c>
      <c r="B24" t="inlineStr">
        <is>
          <t>enero 2014</t>
        </is>
      </c>
      <c r="C24" t="inlineStr">
        <is>
          <t>1</t>
        </is>
      </c>
      <c r="D24" t="n">
        <v>23</v>
      </c>
      <c r="E24" t="n">
        <v>355.209</v>
      </c>
      <c r="F24" t="n">
        <v>229.735</v>
      </c>
    </row>
    <row r="25">
      <c r="A25" t="inlineStr">
        <is>
          <t>2014-01</t>
        </is>
      </c>
      <c r="B25" t="inlineStr">
        <is>
          <t>enero 2014</t>
        </is>
      </c>
      <c r="C25" t="inlineStr">
        <is>
          <t>1</t>
        </is>
      </c>
      <c r="D25" t="n">
        <v>24</v>
      </c>
      <c r="E25" t="n">
        <v>378.405</v>
      </c>
      <c r="F25" t="n">
        <v>230.435</v>
      </c>
    </row>
    <row r="26">
      <c r="A26" t="inlineStr">
        <is>
          <t>2014-01</t>
        </is>
      </c>
      <c r="B26" t="inlineStr">
        <is>
          <t>enero 2014</t>
        </is>
      </c>
      <c r="C26" t="inlineStr">
        <is>
          <t>1</t>
        </is>
      </c>
      <c r="D26" t="n">
        <v>25</v>
      </c>
      <c r="E26" t="n">
        <v>397.489</v>
      </c>
      <c r="F26" t="n">
        <v>230.73</v>
      </c>
    </row>
    <row r="27">
      <c r="A27" t="inlineStr">
        <is>
          <t>2014-01</t>
        </is>
      </c>
      <c r="B27" t="inlineStr">
        <is>
          <t>enero 2014</t>
        </is>
      </c>
      <c r="C27" t="inlineStr">
        <is>
          <t>1</t>
        </is>
      </c>
      <c r="D27" t="n">
        <v>26</v>
      </c>
      <c r="E27" t="n">
        <v>398.721</v>
      </c>
      <c r="F27" t="n">
        <v>230.724</v>
      </c>
    </row>
    <row r="28">
      <c r="A28" t="inlineStr">
        <is>
          <t>2014-01</t>
        </is>
      </c>
      <c r="B28" t="inlineStr">
        <is>
          <t>enero 2014</t>
        </is>
      </c>
      <c r="C28" t="inlineStr">
        <is>
          <t>1</t>
        </is>
      </c>
      <c r="D28" t="n">
        <v>27</v>
      </c>
      <c r="E28" t="n">
        <v>408.809</v>
      </c>
      <c r="F28" t="n">
        <v>230.99</v>
      </c>
    </row>
    <row r="29">
      <c r="A29" t="inlineStr">
        <is>
          <t>2014-01</t>
        </is>
      </c>
      <c r="B29" t="inlineStr">
        <is>
          <t>enero 2014</t>
        </is>
      </c>
      <c r="C29" t="inlineStr">
        <is>
          <t>1</t>
        </is>
      </c>
      <c r="D29" t="n">
        <v>28</v>
      </c>
      <c r="E29" t="n">
        <v>494.972</v>
      </c>
      <c r="F29" t="n">
        <v>233.249</v>
      </c>
    </row>
    <row r="30">
      <c r="A30" t="inlineStr">
        <is>
          <t>2014-01</t>
        </is>
      </c>
      <c r="B30" t="inlineStr">
        <is>
          <t>enero 2014</t>
        </is>
      </c>
      <c r="C30" t="inlineStr">
        <is>
          <t>1</t>
        </is>
      </c>
      <c r="D30" t="n">
        <v>29</v>
      </c>
      <c r="E30" t="n">
        <v>513.813</v>
      </c>
      <c r="F30" t="n">
        <v>236.715</v>
      </c>
    </row>
    <row r="31">
      <c r="A31" t="inlineStr">
        <is>
          <t>2014-01</t>
        </is>
      </c>
      <c r="B31" t="inlineStr">
        <is>
          <t>enero 2014</t>
        </is>
      </c>
      <c r="C31" t="inlineStr">
        <is>
          <t>1</t>
        </is>
      </c>
      <c r="D31" t="n">
        <v>30</v>
      </c>
      <c r="E31" t="n">
        <v>531.922</v>
      </c>
      <c r="F31" t="n">
        <v>239.46</v>
      </c>
    </row>
    <row r="32">
      <c r="A32" t="inlineStr">
        <is>
          <t>2014-01</t>
        </is>
      </c>
      <c r="B32" t="inlineStr">
        <is>
          <t>enero 2014</t>
        </is>
      </c>
      <c r="C32" t="inlineStr">
        <is>
          <t>1</t>
        </is>
      </c>
      <c r="D32" t="n">
        <v>31</v>
      </c>
      <c r="E32" t="n">
        <v>552.678</v>
      </c>
      <c r="F32" t="n">
        <v>238.143</v>
      </c>
    </row>
    <row r="33">
      <c r="A33" t="inlineStr">
        <is>
          <t>2014-01</t>
        </is>
      </c>
      <c r="B33" t="inlineStr">
        <is>
          <t>enero 2014</t>
        </is>
      </c>
      <c r="C33" t="inlineStr">
        <is>
          <t>1</t>
        </is>
      </c>
      <c r="D33" t="n">
        <v>32</v>
      </c>
      <c r="E33" t="n">
        <v>625.9400000000001</v>
      </c>
      <c r="F33" t="n">
        <v>236.538</v>
      </c>
    </row>
    <row r="34">
      <c r="A34" t="inlineStr">
        <is>
          <t>2014-01</t>
        </is>
      </c>
      <c r="B34" t="inlineStr">
        <is>
          <t>enero 2014</t>
        </is>
      </c>
      <c r="C34" t="inlineStr">
        <is>
          <t>2</t>
        </is>
      </c>
      <c r="D34" t="n">
        <v>1</v>
      </c>
      <c r="E34" t="n">
        <v>0</v>
      </c>
      <c r="F34" t="n">
        <v>242.912</v>
      </c>
    </row>
    <row r="35">
      <c r="A35" t="inlineStr">
        <is>
          <t>2014-01</t>
        </is>
      </c>
      <c r="B35" t="inlineStr">
        <is>
          <t>enero 2014</t>
        </is>
      </c>
      <c r="C35" t="inlineStr">
        <is>
          <t>2</t>
        </is>
      </c>
      <c r="D35" t="n">
        <v>2</v>
      </c>
      <c r="E35" t="n">
        <v>5.761</v>
      </c>
      <c r="F35" t="n">
        <v>242.802</v>
      </c>
    </row>
    <row r="36">
      <c r="A36" t="inlineStr">
        <is>
          <t>2014-01</t>
        </is>
      </c>
      <c r="B36" t="inlineStr">
        <is>
          <t>enero 2014</t>
        </is>
      </c>
      <c r="C36" t="inlineStr">
        <is>
          <t>2</t>
        </is>
      </c>
      <c r="D36" t="n">
        <v>3</v>
      </c>
      <c r="E36" t="n">
        <v>41.048</v>
      </c>
      <c r="F36" t="n">
        <v>243.058</v>
      </c>
    </row>
    <row r="37">
      <c r="A37" t="inlineStr">
        <is>
          <t>2014-01</t>
        </is>
      </c>
      <c r="B37" t="inlineStr">
        <is>
          <t>enero 2014</t>
        </is>
      </c>
      <c r="C37" t="inlineStr">
        <is>
          <t>2</t>
        </is>
      </c>
      <c r="D37" t="n">
        <v>4</v>
      </c>
      <c r="E37" t="n">
        <v>49.825</v>
      </c>
      <c r="F37" t="n">
        <v>243.052</v>
      </c>
    </row>
    <row r="38">
      <c r="A38" t="inlineStr">
        <is>
          <t>2014-01</t>
        </is>
      </c>
      <c r="B38" t="inlineStr">
        <is>
          <t>enero 2014</t>
        </is>
      </c>
      <c r="C38" t="inlineStr">
        <is>
          <t>2</t>
        </is>
      </c>
      <c r="D38" t="n">
        <v>5</v>
      </c>
      <c r="E38" t="n">
        <v>81.751</v>
      </c>
      <c r="F38" t="n">
        <v>243.003</v>
      </c>
    </row>
    <row r="39">
      <c r="A39" t="inlineStr">
        <is>
          <t>2014-01</t>
        </is>
      </c>
      <c r="B39" t="inlineStr">
        <is>
          <t>enero 2014</t>
        </is>
      </c>
      <c r="C39" t="inlineStr">
        <is>
          <t>2</t>
        </is>
      </c>
      <c r="D39" t="n">
        <v>6</v>
      </c>
      <c r="E39" t="n">
        <v>93.726</v>
      </c>
      <c r="F39" t="n">
        <v>242.999</v>
      </c>
    </row>
    <row r="40">
      <c r="A40" t="inlineStr">
        <is>
          <t>2014-01</t>
        </is>
      </c>
      <c r="B40" t="inlineStr">
        <is>
          <t>enero 2014</t>
        </is>
      </c>
      <c r="C40" t="inlineStr">
        <is>
          <t>2</t>
        </is>
      </c>
      <c r="D40" t="n">
        <v>7</v>
      </c>
      <c r="E40" t="n">
        <v>102.683</v>
      </c>
      <c r="F40" t="n">
        <v>243.229</v>
      </c>
    </row>
    <row r="41">
      <c r="A41" t="inlineStr">
        <is>
          <t>2014-01</t>
        </is>
      </c>
      <c r="B41" t="inlineStr">
        <is>
          <t>enero 2014</t>
        </is>
      </c>
      <c r="C41" t="inlineStr">
        <is>
          <t>2</t>
        </is>
      </c>
      <c r="D41" t="n">
        <v>8</v>
      </c>
      <c r="E41" t="n">
        <v>111.618</v>
      </c>
      <c r="F41" t="n">
        <v>243.256</v>
      </c>
    </row>
    <row r="42">
      <c r="A42" t="inlineStr">
        <is>
          <t>2014-01</t>
        </is>
      </c>
      <c r="B42" t="inlineStr">
        <is>
          <t>enero 2014</t>
        </is>
      </c>
      <c r="C42" t="inlineStr">
        <is>
          <t>2</t>
        </is>
      </c>
      <c r="D42" t="n">
        <v>9</v>
      </c>
      <c r="E42" t="n">
        <v>127.593</v>
      </c>
      <c r="F42" t="n">
        <v>243.354</v>
      </c>
    </row>
    <row r="43">
      <c r="A43" t="inlineStr">
        <is>
          <t>2014-01</t>
        </is>
      </c>
      <c r="B43" t="inlineStr">
        <is>
          <t>enero 2014</t>
        </is>
      </c>
      <c r="C43" t="inlineStr">
        <is>
          <t>2</t>
        </is>
      </c>
      <c r="D43" t="n">
        <v>10</v>
      </c>
      <c r="E43" t="n">
        <v>144.763</v>
      </c>
      <c r="F43" t="n">
        <v>243.5</v>
      </c>
    </row>
    <row r="44">
      <c r="A44" t="inlineStr">
        <is>
          <t>2014-01</t>
        </is>
      </c>
      <c r="B44" t="inlineStr">
        <is>
          <t>enero 2014</t>
        </is>
      </c>
      <c r="C44" t="inlineStr">
        <is>
          <t>2</t>
        </is>
      </c>
      <c r="D44" t="n">
        <v>11</v>
      </c>
      <c r="E44" t="n">
        <v>151.981</v>
      </c>
      <c r="F44" t="n">
        <v>243.509</v>
      </c>
    </row>
    <row r="45">
      <c r="A45" t="inlineStr">
        <is>
          <t>2014-01</t>
        </is>
      </c>
      <c r="B45" t="inlineStr">
        <is>
          <t>enero 2014</t>
        </is>
      </c>
      <c r="C45" t="inlineStr">
        <is>
          <t>2</t>
        </is>
      </c>
      <c r="D45" t="n">
        <v>12</v>
      </c>
      <c r="E45" t="n">
        <v>170.522</v>
      </c>
      <c r="F45" t="n">
        <v>243.448</v>
      </c>
    </row>
    <row r="46">
      <c r="A46" t="inlineStr">
        <is>
          <t>2014-01</t>
        </is>
      </c>
      <c r="B46" t="inlineStr">
        <is>
          <t>enero 2014</t>
        </is>
      </c>
      <c r="C46" t="inlineStr">
        <is>
          <t>2</t>
        </is>
      </c>
      <c r="D46" t="n">
        <v>13</v>
      </c>
      <c r="E46" t="n">
        <v>175.647</v>
      </c>
      <c r="F46" t="n">
        <v>239.8</v>
      </c>
    </row>
    <row r="47">
      <c r="A47" t="inlineStr">
        <is>
          <t>2014-01</t>
        </is>
      </c>
      <c r="B47" t="inlineStr">
        <is>
          <t>enero 2014</t>
        </is>
      </c>
      <c r="C47" t="inlineStr">
        <is>
          <t>2</t>
        </is>
      </c>
      <c r="D47" t="n">
        <v>14</v>
      </c>
      <c r="E47" t="n">
        <v>178.131</v>
      </c>
      <c r="F47" t="n">
        <v>236.807</v>
      </c>
    </row>
    <row r="48">
      <c r="A48" t="inlineStr">
        <is>
          <t>2014-01</t>
        </is>
      </c>
      <c r="B48" t="inlineStr">
        <is>
          <t>enero 2014</t>
        </is>
      </c>
      <c r="C48" t="inlineStr">
        <is>
          <t>2</t>
        </is>
      </c>
      <c r="D48" t="n">
        <v>15</v>
      </c>
      <c r="E48" t="n">
        <v>210.65</v>
      </c>
      <c r="F48" t="n">
        <v>236.621</v>
      </c>
    </row>
    <row r="49">
      <c r="A49" t="inlineStr">
        <is>
          <t>2014-01</t>
        </is>
      </c>
      <c r="B49" t="inlineStr">
        <is>
          <t>enero 2014</t>
        </is>
      </c>
      <c r="C49" t="inlineStr">
        <is>
          <t>2</t>
        </is>
      </c>
      <c r="D49" t="n">
        <v>16</v>
      </c>
      <c r="E49" t="n">
        <v>233.941</v>
      </c>
      <c r="F49" t="n">
        <v>236.801</v>
      </c>
    </row>
    <row r="50">
      <c r="A50" t="inlineStr">
        <is>
          <t>2014-01</t>
        </is>
      </c>
      <c r="B50" t="inlineStr">
        <is>
          <t>enero 2014</t>
        </is>
      </c>
      <c r="C50" t="inlineStr">
        <is>
          <t>2</t>
        </is>
      </c>
      <c r="D50" t="n">
        <v>17</v>
      </c>
      <c r="E50" t="n">
        <v>238.493</v>
      </c>
      <c r="F50" t="n">
        <v>236.304</v>
      </c>
    </row>
    <row r="51">
      <c r="A51" t="inlineStr">
        <is>
          <t>2014-01</t>
        </is>
      </c>
      <c r="B51" t="inlineStr">
        <is>
          <t>enero 2014</t>
        </is>
      </c>
      <c r="C51" t="inlineStr">
        <is>
          <t>2</t>
        </is>
      </c>
      <c r="D51" t="n">
        <v>18</v>
      </c>
      <c r="E51" t="n">
        <v>240.689</v>
      </c>
      <c r="F51" t="n">
        <v>235.886</v>
      </c>
    </row>
    <row r="52">
      <c r="A52" t="inlineStr">
        <is>
          <t>2014-01</t>
        </is>
      </c>
      <c r="B52" t="inlineStr">
        <is>
          <t>enero 2014</t>
        </is>
      </c>
      <c r="C52" t="inlineStr">
        <is>
          <t>2</t>
        </is>
      </c>
      <c r="D52" t="n">
        <v>19</v>
      </c>
      <c r="E52" t="n">
        <v>243.419</v>
      </c>
      <c r="F52" t="n">
        <v>235.447</v>
      </c>
    </row>
    <row r="53">
      <c r="A53" t="inlineStr">
        <is>
          <t>2014-01</t>
        </is>
      </c>
      <c r="B53" t="inlineStr">
        <is>
          <t>enero 2014</t>
        </is>
      </c>
      <c r="C53" t="inlineStr">
        <is>
          <t>2</t>
        </is>
      </c>
      <c r="D53" t="n">
        <v>20</v>
      </c>
      <c r="E53" t="n">
        <v>253.595</v>
      </c>
      <c r="F53" t="n">
        <v>232.935</v>
      </c>
    </row>
    <row r="54">
      <c r="A54" t="inlineStr">
        <is>
          <t>2014-01</t>
        </is>
      </c>
      <c r="B54" t="inlineStr">
        <is>
          <t>enero 2014</t>
        </is>
      </c>
      <c r="C54" t="inlineStr">
        <is>
          <t>2</t>
        </is>
      </c>
      <c r="D54" t="n">
        <v>21</v>
      </c>
      <c r="E54" t="n">
        <v>281.278</v>
      </c>
      <c r="F54" t="n">
        <v>231.346</v>
      </c>
    </row>
    <row r="55">
      <c r="A55" t="inlineStr">
        <is>
          <t>2014-01</t>
        </is>
      </c>
      <c r="B55" t="inlineStr">
        <is>
          <t>enero 2014</t>
        </is>
      </c>
      <c r="C55" t="inlineStr">
        <is>
          <t>2</t>
        </is>
      </c>
      <c r="D55" t="n">
        <v>22</v>
      </c>
      <c r="E55" t="n">
        <v>281.278</v>
      </c>
      <c r="F55" t="n">
        <v>231.346</v>
      </c>
    </row>
    <row r="56">
      <c r="A56" t="inlineStr">
        <is>
          <t>2014-01</t>
        </is>
      </c>
      <c r="B56" t="inlineStr">
        <is>
          <t>enero 2014</t>
        </is>
      </c>
      <c r="C56" t="inlineStr">
        <is>
          <t>2</t>
        </is>
      </c>
      <c r="D56" t="n">
        <v>23</v>
      </c>
      <c r="E56" t="n">
        <v>290.972</v>
      </c>
      <c r="F56" t="n">
        <v>231.54</v>
      </c>
    </row>
    <row r="57">
      <c r="A57" t="inlineStr">
        <is>
          <t>2014-01</t>
        </is>
      </c>
      <c r="B57" t="inlineStr">
        <is>
          <t>enero 2014</t>
        </is>
      </c>
      <c r="C57" t="inlineStr">
        <is>
          <t>2</t>
        </is>
      </c>
      <c r="D57" t="n">
        <v>24</v>
      </c>
      <c r="E57" t="n">
        <v>297.766</v>
      </c>
      <c r="F57" t="n">
        <v>232.262</v>
      </c>
    </row>
    <row r="58">
      <c r="A58" t="inlineStr">
        <is>
          <t>2014-01</t>
        </is>
      </c>
      <c r="B58" t="inlineStr">
        <is>
          <t>enero 2014</t>
        </is>
      </c>
      <c r="C58" t="inlineStr">
        <is>
          <t>2</t>
        </is>
      </c>
      <c r="D58" t="n">
        <v>25</v>
      </c>
      <c r="E58" t="n">
        <v>301.867</v>
      </c>
      <c r="F58" t="n">
        <v>238.27</v>
      </c>
    </row>
    <row r="59">
      <c r="A59" t="inlineStr">
        <is>
          <t>2014-01</t>
        </is>
      </c>
      <c r="B59" t="inlineStr">
        <is>
          <t>enero 2014</t>
        </is>
      </c>
      <c r="C59" t="inlineStr">
        <is>
          <t>2</t>
        </is>
      </c>
      <c r="D59" t="n">
        <v>26</v>
      </c>
      <c r="E59" t="n">
        <v>306.496</v>
      </c>
      <c r="F59" t="n">
        <v>243.827</v>
      </c>
    </row>
    <row r="60">
      <c r="A60" t="inlineStr">
        <is>
          <t>2014-01</t>
        </is>
      </c>
      <c r="B60" t="inlineStr">
        <is>
          <t>enero 2014</t>
        </is>
      </c>
      <c r="C60" t="inlineStr">
        <is>
          <t>2</t>
        </is>
      </c>
      <c r="D60" t="n">
        <v>27</v>
      </c>
      <c r="E60" t="n">
        <v>316.251</v>
      </c>
      <c r="F60" t="n">
        <v>243.776</v>
      </c>
    </row>
    <row r="61">
      <c r="A61" t="inlineStr">
        <is>
          <t>2014-01</t>
        </is>
      </c>
      <c r="B61" t="inlineStr">
        <is>
          <t>enero 2014</t>
        </is>
      </c>
      <c r="C61" t="inlineStr">
        <is>
          <t>2</t>
        </is>
      </c>
      <c r="D61" t="n">
        <v>28</v>
      </c>
      <c r="E61" t="n">
        <v>321.884</v>
      </c>
      <c r="F61" t="n">
        <v>243.663</v>
      </c>
    </row>
    <row r="62">
      <c r="A62" t="inlineStr">
        <is>
          <t>2014-01</t>
        </is>
      </c>
      <c r="B62" t="inlineStr">
        <is>
          <t>enero 2014</t>
        </is>
      </c>
      <c r="C62" t="inlineStr">
        <is>
          <t>2</t>
        </is>
      </c>
      <c r="D62" t="n">
        <v>29</v>
      </c>
      <c r="E62" t="n">
        <v>364.198</v>
      </c>
      <c r="F62" t="n">
        <v>243.3</v>
      </c>
    </row>
    <row r="63">
      <c r="A63" t="inlineStr">
        <is>
          <t>2014-01</t>
        </is>
      </c>
      <c r="B63" t="inlineStr">
        <is>
          <t>enero 2014</t>
        </is>
      </c>
      <c r="C63" t="inlineStr">
        <is>
          <t>2</t>
        </is>
      </c>
      <c r="D63" t="n">
        <v>30</v>
      </c>
      <c r="E63" t="n">
        <v>377.82</v>
      </c>
      <c r="F63" t="n">
        <v>243.148</v>
      </c>
    </row>
    <row r="64">
      <c r="A64" t="inlineStr">
        <is>
          <t>2014-01</t>
        </is>
      </c>
      <c r="B64" t="inlineStr">
        <is>
          <t>enero 2014</t>
        </is>
      </c>
      <c r="C64" t="inlineStr">
        <is>
          <t>2</t>
        </is>
      </c>
      <c r="D64" t="n">
        <v>31</v>
      </c>
      <c r="E64" t="n">
        <v>382.947</v>
      </c>
      <c r="F64" t="n">
        <v>243.187</v>
      </c>
    </row>
    <row r="65">
      <c r="A65" t="inlineStr">
        <is>
          <t>2014-01</t>
        </is>
      </c>
      <c r="B65" t="inlineStr">
        <is>
          <t>enero 2014</t>
        </is>
      </c>
      <c r="C65" t="inlineStr">
        <is>
          <t>3</t>
        </is>
      </c>
      <c r="D65" t="n">
        <v>1</v>
      </c>
      <c r="E65" t="n">
        <v>0</v>
      </c>
      <c r="F65" t="n">
        <v>243.829</v>
      </c>
    </row>
    <row r="66">
      <c r="A66" t="inlineStr">
        <is>
          <t>2014-01</t>
        </is>
      </c>
      <c r="B66" t="inlineStr">
        <is>
          <t>enero 2014</t>
        </is>
      </c>
      <c r="C66" t="inlineStr">
        <is>
          <t>3</t>
        </is>
      </c>
      <c r="D66" t="n">
        <v>2</v>
      </c>
      <c r="E66" t="n">
        <v>37.381</v>
      </c>
      <c r="F66" t="n">
        <v>243.943</v>
      </c>
    </row>
    <row r="67">
      <c r="A67" t="inlineStr">
        <is>
          <t>2014-01</t>
        </is>
      </c>
      <c r="B67" t="inlineStr">
        <is>
          <t>enero 2014</t>
        </is>
      </c>
      <c r="C67" t="inlineStr">
        <is>
          <t>3</t>
        </is>
      </c>
      <c r="D67" t="n">
        <v>3</v>
      </c>
      <c r="E67" t="n">
        <v>44.866</v>
      </c>
      <c r="F67" t="n">
        <v>243.929</v>
      </c>
    </row>
    <row r="68">
      <c r="A68" t="inlineStr">
        <is>
          <t>2014-01</t>
        </is>
      </c>
      <c r="B68" t="inlineStr">
        <is>
          <t>enero 2014</t>
        </is>
      </c>
      <c r="C68" t="inlineStr">
        <is>
          <t>3</t>
        </is>
      </c>
      <c r="D68" t="n">
        <v>4</v>
      </c>
      <c r="E68" t="n">
        <v>58.08</v>
      </c>
      <c r="F68" t="n">
        <v>244.039</v>
      </c>
    </row>
    <row r="69">
      <c r="A69" t="inlineStr">
        <is>
          <t>2014-01</t>
        </is>
      </c>
      <c r="B69" t="inlineStr">
        <is>
          <t>enero 2014</t>
        </is>
      </c>
      <c r="C69" t="inlineStr">
        <is>
          <t>3</t>
        </is>
      </c>
      <c r="D69" t="n">
        <v>5</v>
      </c>
      <c r="E69" t="n">
        <v>62.136</v>
      </c>
      <c r="F69" t="n">
        <v>244.066</v>
      </c>
    </row>
    <row r="70">
      <c r="A70" t="inlineStr">
        <is>
          <t>2014-01</t>
        </is>
      </c>
      <c r="B70" t="inlineStr">
        <is>
          <t>enero 2014</t>
        </is>
      </c>
      <c r="C70" t="inlineStr">
        <is>
          <t>3</t>
        </is>
      </c>
      <c r="D70" t="n">
        <v>6</v>
      </c>
      <c r="E70" t="n">
        <v>68.384</v>
      </c>
      <c r="F70" t="n">
        <v>244.172</v>
      </c>
    </row>
    <row r="71">
      <c r="A71" t="inlineStr">
        <is>
          <t>2014-01</t>
        </is>
      </c>
      <c r="B71" t="inlineStr">
        <is>
          <t>enero 2014</t>
        </is>
      </c>
      <c r="C71" t="inlineStr">
        <is>
          <t>3</t>
        </is>
      </c>
      <c r="D71" t="n">
        <v>7</v>
      </c>
      <c r="E71" t="n">
        <v>80.508</v>
      </c>
      <c r="F71" t="n">
        <v>237.455</v>
      </c>
    </row>
    <row r="72">
      <c r="A72" t="inlineStr">
        <is>
          <t>2014-01</t>
        </is>
      </c>
      <c r="B72" t="inlineStr">
        <is>
          <t>enero 2014</t>
        </is>
      </c>
      <c r="C72" t="inlineStr">
        <is>
          <t>3</t>
        </is>
      </c>
      <c r="D72" t="n">
        <v>8</v>
      </c>
      <c r="E72" t="n">
        <v>80.71299999999999</v>
      </c>
      <c r="F72" t="n">
        <v>237.364</v>
      </c>
    </row>
    <row r="73">
      <c r="A73" t="inlineStr">
        <is>
          <t>2014-01</t>
        </is>
      </c>
      <c r="B73" t="inlineStr">
        <is>
          <t>enero 2014</t>
        </is>
      </c>
      <c r="C73" t="inlineStr">
        <is>
          <t>3</t>
        </is>
      </c>
      <c r="D73" t="n">
        <v>9</v>
      </c>
      <c r="E73" t="n">
        <v>80.795</v>
      </c>
      <c r="F73" t="n">
        <v>237.362</v>
      </c>
    </row>
    <row r="74">
      <c r="A74" t="inlineStr">
        <is>
          <t>2014-01</t>
        </is>
      </c>
      <c r="B74" t="inlineStr">
        <is>
          <t>enero 2014</t>
        </is>
      </c>
      <c r="C74" t="inlineStr">
        <is>
          <t>3</t>
        </is>
      </c>
      <c r="D74" t="n">
        <v>10</v>
      </c>
      <c r="E74" t="n">
        <v>93.669</v>
      </c>
      <c r="F74" t="n">
        <v>235.386</v>
      </c>
    </row>
    <row r="75">
      <c r="A75" t="inlineStr">
        <is>
          <t>2014-01</t>
        </is>
      </c>
      <c r="B75" t="inlineStr">
        <is>
          <t>enero 2014</t>
        </is>
      </c>
      <c r="C75" t="inlineStr">
        <is>
          <t>3</t>
        </is>
      </c>
      <c r="D75" t="n">
        <v>11</v>
      </c>
      <c r="E75" t="n">
        <v>101.793</v>
      </c>
      <c r="F75" t="n">
        <v>235.347</v>
      </c>
    </row>
    <row r="76">
      <c r="A76" t="inlineStr">
        <is>
          <t>2014-01</t>
        </is>
      </c>
      <c r="B76" t="inlineStr">
        <is>
          <t>enero 2014</t>
        </is>
      </c>
      <c r="C76" t="inlineStr">
        <is>
          <t>3</t>
        </is>
      </c>
      <c r="D76" t="n">
        <v>12</v>
      </c>
      <c r="E76" t="n">
        <v>103.237</v>
      </c>
      <c r="F76" t="n">
        <v>235.345</v>
      </c>
    </row>
    <row r="77">
      <c r="A77" t="inlineStr">
        <is>
          <t>2014-01</t>
        </is>
      </c>
      <c r="B77" t="inlineStr">
        <is>
          <t>enero 2014</t>
        </is>
      </c>
      <c r="C77" t="inlineStr">
        <is>
          <t>3</t>
        </is>
      </c>
      <c r="D77" t="n">
        <v>13</v>
      </c>
      <c r="E77" t="n">
        <v>103.633</v>
      </c>
      <c r="F77" t="n">
        <v>235.346</v>
      </c>
    </row>
    <row r="78">
      <c r="A78" t="inlineStr">
        <is>
          <t>2014-01</t>
        </is>
      </c>
      <c r="B78" t="inlineStr">
        <is>
          <t>enero 2014</t>
        </is>
      </c>
      <c r="C78" t="inlineStr">
        <is>
          <t>3</t>
        </is>
      </c>
      <c r="D78" t="n">
        <v>14</v>
      </c>
      <c r="E78" t="n">
        <v>105.33</v>
      </c>
      <c r="F78" t="n">
        <v>235.389</v>
      </c>
    </row>
    <row r="79">
      <c r="A79" t="inlineStr">
        <is>
          <t>2014-01</t>
        </is>
      </c>
      <c r="B79" t="inlineStr">
        <is>
          <t>enero 2014</t>
        </is>
      </c>
      <c r="C79" t="inlineStr">
        <is>
          <t>3</t>
        </is>
      </c>
      <c r="D79" t="n">
        <v>15</v>
      </c>
      <c r="E79" t="n">
        <v>107.163</v>
      </c>
      <c r="F79" t="n">
        <v>235.591</v>
      </c>
    </row>
    <row r="80">
      <c r="A80" t="inlineStr">
        <is>
          <t>2014-01</t>
        </is>
      </c>
      <c r="B80" t="inlineStr">
        <is>
          <t>enero 2014</t>
        </is>
      </c>
      <c r="C80" t="inlineStr">
        <is>
          <t>3</t>
        </is>
      </c>
      <c r="D80" t="n">
        <v>16</v>
      </c>
      <c r="E80" t="n">
        <v>168.041</v>
      </c>
      <c r="F80" t="n">
        <v>239.015</v>
      </c>
    </row>
    <row r="81">
      <c r="A81" t="inlineStr">
        <is>
          <t>2014-01</t>
        </is>
      </c>
      <c r="B81" t="inlineStr">
        <is>
          <t>enero 2014</t>
        </is>
      </c>
      <c r="C81" t="inlineStr">
        <is>
          <t>3</t>
        </is>
      </c>
      <c r="D81" t="n">
        <v>17</v>
      </c>
      <c r="E81" t="n">
        <v>177.218</v>
      </c>
      <c r="F81" t="n">
        <v>238.656</v>
      </c>
    </row>
    <row r="82">
      <c r="A82" t="inlineStr">
        <is>
          <t>2014-01</t>
        </is>
      </c>
      <c r="B82" t="inlineStr">
        <is>
          <t>enero 2014</t>
        </is>
      </c>
      <c r="C82" t="inlineStr">
        <is>
          <t>3</t>
        </is>
      </c>
      <c r="D82" t="n">
        <v>18</v>
      </c>
      <c r="E82" t="n">
        <v>179.96</v>
      </c>
      <c r="F82" t="n">
        <v>238.52</v>
      </c>
    </row>
    <row r="83">
      <c r="A83" t="inlineStr">
        <is>
          <t>2014-01</t>
        </is>
      </c>
      <c r="B83" t="inlineStr">
        <is>
          <t>enero 2014</t>
        </is>
      </c>
      <c r="C83" t="inlineStr">
        <is>
          <t>3</t>
        </is>
      </c>
      <c r="D83" t="n">
        <v>19</v>
      </c>
      <c r="E83" t="n">
        <v>197.164</v>
      </c>
      <c r="F83" t="n">
        <v>237.746</v>
      </c>
    </row>
    <row r="84">
      <c r="A84" t="inlineStr">
        <is>
          <t>2014-01</t>
        </is>
      </c>
      <c r="B84" t="inlineStr">
        <is>
          <t>enero 2014</t>
        </is>
      </c>
      <c r="C84" t="inlineStr">
        <is>
          <t>3</t>
        </is>
      </c>
      <c r="D84" t="n">
        <v>20</v>
      </c>
      <c r="E84" t="n">
        <v>226.108</v>
      </c>
      <c r="F84" t="n">
        <v>236.456</v>
      </c>
    </row>
    <row r="85">
      <c r="A85" t="inlineStr">
        <is>
          <t>2014-01</t>
        </is>
      </c>
      <c r="B85" t="inlineStr">
        <is>
          <t>enero 2014</t>
        </is>
      </c>
      <c r="C85" t="inlineStr">
        <is>
          <t>3</t>
        </is>
      </c>
      <c r="D85" t="n">
        <v>21</v>
      </c>
      <c r="E85" t="n">
        <v>229.219</v>
      </c>
      <c r="F85" t="n">
        <v>236.18</v>
      </c>
    </row>
    <row r="86">
      <c r="A86" t="inlineStr">
        <is>
          <t>2014-01</t>
        </is>
      </c>
      <c r="B86" t="inlineStr">
        <is>
          <t>enero 2014</t>
        </is>
      </c>
      <c r="C86" t="inlineStr">
        <is>
          <t>3</t>
        </is>
      </c>
      <c r="D86" t="n">
        <v>22</v>
      </c>
      <c r="E86" t="n">
        <v>246.138</v>
      </c>
      <c r="F86" t="n">
        <v>239.124</v>
      </c>
    </row>
    <row r="87">
      <c r="A87" t="inlineStr">
        <is>
          <t>2014-01</t>
        </is>
      </c>
      <c r="B87" t="inlineStr">
        <is>
          <t>enero 2014</t>
        </is>
      </c>
      <c r="C87" t="inlineStr">
        <is>
          <t>3</t>
        </is>
      </c>
      <c r="D87" t="n">
        <v>23</v>
      </c>
      <c r="E87" t="n">
        <v>247.325</v>
      </c>
      <c r="F87" t="n">
        <v>239.125</v>
      </c>
    </row>
    <row r="88">
      <c r="A88" t="inlineStr">
        <is>
          <t>2014-01</t>
        </is>
      </c>
      <c r="B88" t="inlineStr">
        <is>
          <t>enero 2014</t>
        </is>
      </c>
      <c r="C88" t="inlineStr">
        <is>
          <t>3</t>
        </is>
      </c>
      <c r="D88" t="n">
        <v>24</v>
      </c>
      <c r="E88" t="n">
        <v>259.042</v>
      </c>
      <c r="F88" t="n">
        <v>238.774</v>
      </c>
    </row>
    <row r="89">
      <c r="A89" t="inlineStr">
        <is>
          <t>2014-01</t>
        </is>
      </c>
      <c r="B89" t="inlineStr">
        <is>
          <t>enero 2014</t>
        </is>
      </c>
      <c r="C89" t="inlineStr">
        <is>
          <t>3</t>
        </is>
      </c>
      <c r="D89" t="n">
        <v>25</v>
      </c>
      <c r="E89" t="n">
        <v>267.304</v>
      </c>
      <c r="F89" t="n">
        <v>238.877</v>
      </c>
    </row>
    <row r="90">
      <c r="A90" t="inlineStr">
        <is>
          <t>2014-01</t>
        </is>
      </c>
      <c r="B90" t="inlineStr">
        <is>
          <t>enero 2014</t>
        </is>
      </c>
      <c r="C90" t="inlineStr">
        <is>
          <t>3</t>
        </is>
      </c>
      <c r="D90" t="n">
        <v>26</v>
      </c>
      <c r="E90" t="n">
        <v>321.107</v>
      </c>
      <c r="F90" t="n">
        <v>235.472</v>
      </c>
    </row>
    <row r="91">
      <c r="A91" t="inlineStr">
        <is>
          <t>2014-01</t>
        </is>
      </c>
      <c r="B91" t="inlineStr">
        <is>
          <t>enero 2014</t>
        </is>
      </c>
      <c r="C91" t="inlineStr">
        <is>
          <t>3</t>
        </is>
      </c>
      <c r="D91" t="n">
        <v>27</v>
      </c>
      <c r="E91" t="n">
        <v>355.879</v>
      </c>
      <c r="F91" t="n">
        <v>235.19</v>
      </c>
    </row>
    <row r="92">
      <c r="A92" t="inlineStr">
        <is>
          <t>2014-01</t>
        </is>
      </c>
      <c r="B92" t="inlineStr">
        <is>
          <t>enero 2014</t>
        </is>
      </c>
      <c r="C92" t="inlineStr">
        <is>
          <t>3</t>
        </is>
      </c>
      <c r="D92" t="n">
        <v>28</v>
      </c>
      <c r="E92" t="n">
        <v>366.264</v>
      </c>
      <c r="F92" t="n">
        <v>235.33</v>
      </c>
    </row>
    <row r="93">
      <c r="A93" t="inlineStr">
        <is>
          <t>2014-01</t>
        </is>
      </c>
      <c r="B93" t="inlineStr">
        <is>
          <t>enero 2014</t>
        </is>
      </c>
      <c r="C93" t="inlineStr">
        <is>
          <t>3</t>
        </is>
      </c>
      <c r="D93" t="n">
        <v>29</v>
      </c>
      <c r="E93" t="n">
        <v>372.724</v>
      </c>
      <c r="F93" t="n">
        <v>235.882</v>
      </c>
    </row>
    <row r="94">
      <c r="A94" t="inlineStr">
        <is>
          <t>2014-01</t>
        </is>
      </c>
      <c r="B94" t="inlineStr">
        <is>
          <t>enero 2014</t>
        </is>
      </c>
      <c r="C94" t="inlineStr">
        <is>
          <t>3</t>
        </is>
      </c>
      <c r="D94" t="n">
        <v>30</v>
      </c>
      <c r="E94" t="n">
        <v>381.567</v>
      </c>
      <c r="F94" t="n">
        <v>235.063</v>
      </c>
    </row>
    <row r="95">
      <c r="A95" t="inlineStr">
        <is>
          <t>2014-01</t>
        </is>
      </c>
      <c r="B95" t="inlineStr">
        <is>
          <t>enero 2014</t>
        </is>
      </c>
      <c r="C95" t="inlineStr">
        <is>
          <t>3</t>
        </is>
      </c>
      <c r="D95" t="n">
        <v>31</v>
      </c>
      <c r="E95" t="n">
        <v>392.522</v>
      </c>
      <c r="F95" t="n">
        <v>239.437</v>
      </c>
    </row>
    <row r="96">
      <c r="A96" t="inlineStr">
        <is>
          <t>2014-01</t>
        </is>
      </c>
      <c r="B96" t="inlineStr">
        <is>
          <t>enero 2014</t>
        </is>
      </c>
      <c r="C96" t="inlineStr">
        <is>
          <t>3</t>
        </is>
      </c>
      <c r="D96" t="n">
        <v>32</v>
      </c>
      <c r="E96" t="n">
        <v>394.438</v>
      </c>
      <c r="F96" t="n">
        <v>239.926</v>
      </c>
    </row>
    <row r="97">
      <c r="A97" t="inlineStr">
        <is>
          <t>2014-01</t>
        </is>
      </c>
      <c r="B97" t="inlineStr">
        <is>
          <t>enero 2014</t>
        </is>
      </c>
      <c r="C97" t="inlineStr">
        <is>
          <t>3</t>
        </is>
      </c>
      <c r="D97" t="n">
        <v>33</v>
      </c>
      <c r="E97" t="n">
        <v>399.8</v>
      </c>
      <c r="F97" t="n">
        <v>244.843</v>
      </c>
    </row>
    <row r="98">
      <c r="A98" t="inlineStr">
        <is>
          <t>2014-01</t>
        </is>
      </c>
      <c r="B98" t="inlineStr">
        <is>
          <t>enero 2014</t>
        </is>
      </c>
      <c r="C98" t="inlineStr">
        <is>
          <t>3</t>
        </is>
      </c>
      <c r="D98" t="n">
        <v>34</v>
      </c>
      <c r="E98" t="n">
        <v>399.836</v>
      </c>
      <c r="F98" t="n">
        <v>244.867</v>
      </c>
    </row>
    <row r="99">
      <c r="A99" t="inlineStr">
        <is>
          <t>2014-01</t>
        </is>
      </c>
      <c r="B99" t="inlineStr">
        <is>
          <t>enero 2014</t>
        </is>
      </c>
      <c r="C99" t="inlineStr">
        <is>
          <t>3</t>
        </is>
      </c>
      <c r="D99" t="n">
        <v>35</v>
      </c>
      <c r="E99" t="n">
        <v>399.842</v>
      </c>
      <c r="F99" t="n">
        <v>244.868</v>
      </c>
    </row>
    <row r="100">
      <c r="A100" t="inlineStr">
        <is>
          <t>2014-01</t>
        </is>
      </c>
      <c r="B100" t="inlineStr">
        <is>
          <t>enero 2014</t>
        </is>
      </c>
      <c r="C100" t="inlineStr">
        <is>
          <t>3</t>
        </is>
      </c>
      <c r="D100" t="n">
        <v>36</v>
      </c>
      <c r="E100" t="n">
        <v>400.876</v>
      </c>
      <c r="F100" t="n">
        <v>243.774</v>
      </c>
    </row>
    <row r="101">
      <c r="A101" t="inlineStr">
        <is>
          <t>2014-01</t>
        </is>
      </c>
      <c r="B101" t="inlineStr">
        <is>
          <t>enero 2014</t>
        </is>
      </c>
      <c r="C101" t="inlineStr">
        <is>
          <t>3</t>
        </is>
      </c>
      <c r="D101" t="n">
        <v>37</v>
      </c>
      <c r="E101" t="n">
        <v>406.75</v>
      </c>
      <c r="F101" t="n">
        <v>243.155</v>
      </c>
    </row>
    <row r="102">
      <c r="A102" t="inlineStr">
        <is>
          <t>2014-01</t>
        </is>
      </c>
      <c r="B102" t="inlineStr">
        <is>
          <t>enero 2014</t>
        </is>
      </c>
      <c r="C102" t="inlineStr">
        <is>
          <t>3</t>
        </is>
      </c>
      <c r="D102" t="n">
        <v>38</v>
      </c>
      <c r="E102" t="n">
        <v>417.206</v>
      </c>
      <c r="F102" t="n">
        <v>245.127</v>
      </c>
    </row>
    <row r="103">
      <c r="A103" t="inlineStr">
        <is>
          <t>2014-01</t>
        </is>
      </c>
      <c r="B103" t="inlineStr">
        <is>
          <t>enero 2014</t>
        </is>
      </c>
      <c r="C103" t="inlineStr">
        <is>
          <t>3</t>
        </is>
      </c>
      <c r="D103" t="n">
        <v>39</v>
      </c>
      <c r="E103" t="n">
        <v>436.343</v>
      </c>
      <c r="F103" t="n">
        <v>245.239</v>
      </c>
    </row>
    <row r="104">
      <c r="A104" t="inlineStr">
        <is>
          <t>2014-01</t>
        </is>
      </c>
      <c r="B104" t="inlineStr">
        <is>
          <t>enero 2014</t>
        </is>
      </c>
      <c r="C104" t="inlineStr">
        <is>
          <t>4</t>
        </is>
      </c>
      <c r="D104" t="n">
        <v>1</v>
      </c>
      <c r="E104" t="n">
        <v>0</v>
      </c>
      <c r="F104" t="n">
        <v>246.502</v>
      </c>
    </row>
    <row r="105">
      <c r="A105" t="inlineStr">
        <is>
          <t>2014-01</t>
        </is>
      </c>
      <c r="B105" t="inlineStr">
        <is>
          <t>enero 2014</t>
        </is>
      </c>
      <c r="C105" t="inlineStr">
        <is>
          <t>4</t>
        </is>
      </c>
      <c r="D105" t="n">
        <v>2</v>
      </c>
      <c r="E105" t="n">
        <v>7.513</v>
      </c>
      <c r="F105" t="n">
        <v>246.476</v>
      </c>
    </row>
    <row r="106">
      <c r="A106" t="inlineStr">
        <is>
          <t>2014-01</t>
        </is>
      </c>
      <c r="B106" t="inlineStr">
        <is>
          <t>enero 2014</t>
        </is>
      </c>
      <c r="C106" t="inlineStr">
        <is>
          <t>4</t>
        </is>
      </c>
      <c r="D106" t="n">
        <v>3</v>
      </c>
      <c r="E106" t="n">
        <v>8.826000000000001</v>
      </c>
      <c r="F106" t="n">
        <v>246.471</v>
      </c>
    </row>
    <row r="107">
      <c r="A107" t="inlineStr">
        <is>
          <t>2014-01</t>
        </is>
      </c>
      <c r="B107" t="inlineStr">
        <is>
          <t>enero 2014</t>
        </is>
      </c>
      <c r="C107" t="inlineStr">
        <is>
          <t>4</t>
        </is>
      </c>
      <c r="D107" t="n">
        <v>4</v>
      </c>
      <c r="E107" t="n">
        <v>23.322</v>
      </c>
      <c r="F107" t="n">
        <v>246.356</v>
      </c>
    </row>
    <row r="108">
      <c r="A108" t="inlineStr">
        <is>
          <t>2014-01</t>
        </is>
      </c>
      <c r="B108" t="inlineStr">
        <is>
          <t>enero 2014</t>
        </is>
      </c>
      <c r="C108" t="inlineStr">
        <is>
          <t>4</t>
        </is>
      </c>
      <c r="D108" t="n">
        <v>5</v>
      </c>
      <c r="E108" t="n">
        <v>40.383</v>
      </c>
      <c r="F108" t="n">
        <v>246.242</v>
      </c>
    </row>
    <row r="109">
      <c r="A109" t="inlineStr">
        <is>
          <t>2014-01</t>
        </is>
      </c>
      <c r="B109" t="inlineStr">
        <is>
          <t>enero 2014</t>
        </is>
      </c>
      <c r="C109" t="inlineStr">
        <is>
          <t>4</t>
        </is>
      </c>
      <c r="D109" t="n">
        <v>6</v>
      </c>
      <c r="E109" t="n">
        <v>45.357</v>
      </c>
      <c r="F109" t="n">
        <v>243.723</v>
      </c>
    </row>
    <row r="110">
      <c r="A110" t="inlineStr">
        <is>
          <t>2014-01</t>
        </is>
      </c>
      <c r="B110" t="inlineStr">
        <is>
          <t>enero 2014</t>
        </is>
      </c>
      <c r="C110" t="inlineStr">
        <is>
          <t>4</t>
        </is>
      </c>
      <c r="D110" t="n">
        <v>7</v>
      </c>
      <c r="E110" t="n">
        <v>50.897</v>
      </c>
      <c r="F110" t="n">
        <v>239.81</v>
      </c>
    </row>
    <row r="111">
      <c r="A111" t="inlineStr">
        <is>
          <t>2014-01</t>
        </is>
      </c>
      <c r="B111" t="inlineStr">
        <is>
          <t>enero 2014</t>
        </is>
      </c>
      <c r="C111" t="inlineStr">
        <is>
          <t>4</t>
        </is>
      </c>
      <c r="D111" t="n">
        <v>8</v>
      </c>
      <c r="E111" t="n">
        <v>64.988</v>
      </c>
      <c r="F111" t="n">
        <v>239.93</v>
      </c>
    </row>
    <row r="112">
      <c r="A112" t="inlineStr">
        <is>
          <t>2014-01</t>
        </is>
      </c>
      <c r="B112" t="inlineStr">
        <is>
          <t>enero 2014</t>
        </is>
      </c>
      <c r="C112" t="inlineStr">
        <is>
          <t>4</t>
        </is>
      </c>
      <c r="D112" t="n">
        <v>9</v>
      </c>
      <c r="E112" t="n">
        <v>68.209</v>
      </c>
      <c r="F112" t="n">
        <v>239.9</v>
      </c>
    </row>
    <row r="113">
      <c r="A113" t="inlineStr">
        <is>
          <t>2014-01</t>
        </is>
      </c>
      <c r="B113" t="inlineStr">
        <is>
          <t>enero 2014</t>
        </is>
      </c>
      <c r="C113" t="inlineStr">
        <is>
          <t>4</t>
        </is>
      </c>
      <c r="D113" t="n">
        <v>10</v>
      </c>
      <c r="E113" t="n">
        <v>69.34099999999999</v>
      </c>
      <c r="F113" t="n">
        <v>239.886</v>
      </c>
    </row>
    <row r="114">
      <c r="A114" t="inlineStr">
        <is>
          <t>2014-01</t>
        </is>
      </c>
      <c r="B114" t="inlineStr">
        <is>
          <t>enero 2014</t>
        </is>
      </c>
      <c r="C114" t="inlineStr">
        <is>
          <t>4</t>
        </is>
      </c>
      <c r="D114" t="n">
        <v>11</v>
      </c>
      <c r="E114" t="n">
        <v>69.944</v>
      </c>
      <c r="F114" t="n">
        <v>240.409</v>
      </c>
    </row>
    <row r="115">
      <c r="A115" t="inlineStr">
        <is>
          <t>2014-01</t>
        </is>
      </c>
      <c r="B115" t="inlineStr">
        <is>
          <t>enero 2014</t>
        </is>
      </c>
      <c r="C115" t="inlineStr">
        <is>
          <t>4</t>
        </is>
      </c>
      <c r="D115" t="n">
        <v>12</v>
      </c>
      <c r="E115" t="n">
        <v>82.752</v>
      </c>
      <c r="F115" t="n">
        <v>242.377</v>
      </c>
    </row>
    <row r="116">
      <c r="A116" t="inlineStr">
        <is>
          <t>2014-01</t>
        </is>
      </c>
      <c r="B116" t="inlineStr">
        <is>
          <t>enero 2014</t>
        </is>
      </c>
      <c r="C116" t="inlineStr">
        <is>
          <t>4</t>
        </is>
      </c>
      <c r="D116" t="n">
        <v>13</v>
      </c>
      <c r="E116" t="n">
        <v>121.388</v>
      </c>
      <c r="F116" t="n">
        <v>242.212</v>
      </c>
    </row>
    <row r="117">
      <c r="A117" t="inlineStr">
        <is>
          <t>2014-01</t>
        </is>
      </c>
      <c r="B117" t="inlineStr">
        <is>
          <t>enero 2014</t>
        </is>
      </c>
      <c r="C117" t="inlineStr">
        <is>
          <t>4</t>
        </is>
      </c>
      <c r="D117" t="n">
        <v>14</v>
      </c>
      <c r="E117" t="n">
        <v>125.862</v>
      </c>
      <c r="F117" t="n">
        <v>242.212</v>
      </c>
    </row>
    <row r="118">
      <c r="A118" t="inlineStr">
        <is>
          <t>2014-01</t>
        </is>
      </c>
      <c r="B118" t="inlineStr">
        <is>
          <t>enero 2014</t>
        </is>
      </c>
      <c r="C118" t="inlineStr">
        <is>
          <t>4</t>
        </is>
      </c>
      <c r="D118" t="n">
        <v>15</v>
      </c>
      <c r="E118" t="n">
        <v>126.221</v>
      </c>
      <c r="F118" t="n">
        <v>242.312</v>
      </c>
    </row>
    <row r="119">
      <c r="A119" t="inlineStr">
        <is>
          <t>2014-01</t>
        </is>
      </c>
      <c r="B119" t="inlineStr">
        <is>
          <t>enero 2014</t>
        </is>
      </c>
      <c r="C119" t="inlineStr">
        <is>
          <t>4</t>
        </is>
      </c>
      <c r="D119" t="n">
        <v>16</v>
      </c>
      <c r="E119" t="n">
        <v>130.471</v>
      </c>
      <c r="F119" t="n">
        <v>242.614</v>
      </c>
    </row>
    <row r="120">
      <c r="A120" t="inlineStr">
        <is>
          <t>2014-01</t>
        </is>
      </c>
      <c r="B120" t="inlineStr">
        <is>
          <t>enero 2014</t>
        </is>
      </c>
      <c r="C120" t="inlineStr">
        <is>
          <t>4</t>
        </is>
      </c>
      <c r="D120" t="n">
        <v>17</v>
      </c>
      <c r="E120" t="n">
        <v>143.811</v>
      </c>
      <c r="F120" t="n">
        <v>243.802</v>
      </c>
    </row>
    <row r="121">
      <c r="A121" t="inlineStr">
        <is>
          <t>2014-01</t>
        </is>
      </c>
      <c r="B121" t="inlineStr">
        <is>
          <t>enero 2014</t>
        </is>
      </c>
      <c r="C121" t="inlineStr">
        <is>
          <t>4</t>
        </is>
      </c>
      <c r="D121" t="n">
        <v>18</v>
      </c>
      <c r="E121" t="n">
        <v>151.444</v>
      </c>
      <c r="F121" t="n">
        <v>243.128</v>
      </c>
    </row>
    <row r="122">
      <c r="A122" t="inlineStr">
        <is>
          <t>2014-01</t>
        </is>
      </c>
      <c r="B122" t="inlineStr">
        <is>
          <t>enero 2014</t>
        </is>
      </c>
      <c r="C122" t="inlineStr">
        <is>
          <t>4</t>
        </is>
      </c>
      <c r="D122" t="n">
        <v>19</v>
      </c>
      <c r="E122" t="n">
        <v>151.462</v>
      </c>
      <c r="F122" t="n">
        <v>243.149</v>
      </c>
    </row>
    <row r="123">
      <c r="A123" t="inlineStr">
        <is>
          <t>2014-01</t>
        </is>
      </c>
      <c r="B123" t="inlineStr">
        <is>
          <t>enero 2014</t>
        </is>
      </c>
      <c r="C123" t="inlineStr">
        <is>
          <t>4</t>
        </is>
      </c>
      <c r="D123" t="n">
        <v>20</v>
      </c>
      <c r="E123" t="n">
        <v>152.926</v>
      </c>
      <c r="F123" t="n">
        <v>245.785</v>
      </c>
    </row>
    <row r="124">
      <c r="A124" t="inlineStr">
        <is>
          <t>2014-01</t>
        </is>
      </c>
      <c r="B124" t="inlineStr">
        <is>
          <t>enero 2014</t>
        </is>
      </c>
      <c r="C124" t="inlineStr">
        <is>
          <t>4</t>
        </is>
      </c>
      <c r="D124" t="n">
        <v>21</v>
      </c>
      <c r="E124" t="n">
        <v>162.181</v>
      </c>
      <c r="F124" t="n">
        <v>245.417</v>
      </c>
    </row>
    <row r="125">
      <c r="A125" t="inlineStr">
        <is>
          <t>2014-01</t>
        </is>
      </c>
      <c r="B125" t="inlineStr">
        <is>
          <t>enero 2014</t>
        </is>
      </c>
      <c r="C125" t="inlineStr">
        <is>
          <t>4</t>
        </is>
      </c>
      <c r="D125" t="n">
        <v>22</v>
      </c>
      <c r="E125" t="n">
        <v>197.146</v>
      </c>
      <c r="F125" t="n">
        <v>245.963</v>
      </c>
    </row>
    <row r="126">
      <c r="A126" t="inlineStr">
        <is>
          <t>2014-01</t>
        </is>
      </c>
      <c r="B126" t="inlineStr">
        <is>
          <t>enero 2014</t>
        </is>
      </c>
      <c r="C126" t="inlineStr">
        <is>
          <t>A</t>
        </is>
      </c>
      <c r="D126" t="n">
        <v>1</v>
      </c>
      <c r="E126" t="n">
        <v>0</v>
      </c>
      <c r="F126" t="n">
        <v>233.304</v>
      </c>
    </row>
    <row r="127">
      <c r="A127" t="inlineStr">
        <is>
          <t>2014-01</t>
        </is>
      </c>
      <c r="B127" t="inlineStr">
        <is>
          <t>enero 2014</t>
        </is>
      </c>
      <c r="C127" t="inlineStr">
        <is>
          <t>A</t>
        </is>
      </c>
      <c r="D127" t="n">
        <v>2</v>
      </c>
      <c r="E127" t="n">
        <v>48.177</v>
      </c>
      <c r="F127" t="n">
        <v>234.155</v>
      </c>
    </row>
    <row r="128">
      <c r="A128" t="inlineStr">
        <is>
          <t>2014-01</t>
        </is>
      </c>
      <c r="B128" t="inlineStr">
        <is>
          <t>enero 2014</t>
        </is>
      </c>
      <c r="C128" t="inlineStr">
        <is>
          <t>A</t>
        </is>
      </c>
      <c r="D128" t="n">
        <v>3</v>
      </c>
      <c r="E128" t="n">
        <v>71.024</v>
      </c>
      <c r="F128" t="n">
        <v>234.915</v>
      </c>
    </row>
    <row r="129">
      <c r="A129" t="inlineStr">
        <is>
          <t>2014-01</t>
        </is>
      </c>
      <c r="B129" t="inlineStr">
        <is>
          <t>enero 2014</t>
        </is>
      </c>
      <c r="C129" t="inlineStr">
        <is>
          <t>A</t>
        </is>
      </c>
      <c r="D129" t="n">
        <v>4</v>
      </c>
      <c r="E129" t="n">
        <v>107.894</v>
      </c>
      <c r="F129" t="n">
        <v>236.443</v>
      </c>
    </row>
    <row r="130">
      <c r="A130" t="inlineStr">
        <is>
          <t>2014-01</t>
        </is>
      </c>
      <c r="B130" t="inlineStr">
        <is>
          <t>enero 2014</t>
        </is>
      </c>
      <c r="C130" t="inlineStr">
        <is>
          <t>A</t>
        </is>
      </c>
      <c r="D130" t="n">
        <v>5</v>
      </c>
      <c r="E130" t="n">
        <v>152.756</v>
      </c>
      <c r="F130" t="n">
        <v>238.167</v>
      </c>
    </row>
    <row r="131">
      <c r="A131" t="inlineStr">
        <is>
          <t>2014-01</t>
        </is>
      </c>
      <c r="B131" t="inlineStr">
        <is>
          <t>enero 2014</t>
        </is>
      </c>
      <c r="C131" t="inlineStr">
        <is>
          <t>A</t>
        </is>
      </c>
      <c r="D131" t="n">
        <v>6</v>
      </c>
      <c r="E131" t="n">
        <v>165.168</v>
      </c>
      <c r="F131" t="n">
        <v>238.75</v>
      </c>
    </row>
    <row r="132">
      <c r="A132" t="inlineStr">
        <is>
          <t>2014-01</t>
        </is>
      </c>
      <c r="B132" t="inlineStr">
        <is>
          <t>enero 2014</t>
        </is>
      </c>
      <c r="C132" t="inlineStr">
        <is>
          <t>A</t>
        </is>
      </c>
      <c r="D132" t="n">
        <v>7</v>
      </c>
      <c r="E132" t="n">
        <v>175.995</v>
      </c>
      <c r="F132" t="n">
        <v>238.812</v>
      </c>
    </row>
    <row r="133">
      <c r="A133" t="inlineStr">
        <is>
          <t>2014-01</t>
        </is>
      </c>
      <c r="B133" t="inlineStr">
        <is>
          <t>enero 2014</t>
        </is>
      </c>
      <c r="C133" t="inlineStr">
        <is>
          <t>A</t>
        </is>
      </c>
      <c r="D133" t="n">
        <v>8</v>
      </c>
      <c r="E133" t="n">
        <v>207.495</v>
      </c>
      <c r="F133" t="n">
        <v>239.109</v>
      </c>
    </row>
    <row r="134">
      <c r="A134" t="inlineStr">
        <is>
          <t>2014-01</t>
        </is>
      </c>
      <c r="B134" t="inlineStr">
        <is>
          <t>enero 2014</t>
        </is>
      </c>
      <c r="C134" t="inlineStr">
        <is>
          <t>A</t>
        </is>
      </c>
      <c r="D134" t="n">
        <v>9</v>
      </c>
      <c r="E134" t="n">
        <v>224.654</v>
      </c>
      <c r="F134" t="n">
        <v>239.322</v>
      </c>
    </row>
    <row r="135">
      <c r="A135" t="inlineStr">
        <is>
          <t>2014-01</t>
        </is>
      </c>
      <c r="B135" t="inlineStr">
        <is>
          <t>enero 2014</t>
        </is>
      </c>
      <c r="C135" t="inlineStr">
        <is>
          <t>A</t>
        </is>
      </c>
      <c r="D135" t="n">
        <v>10</v>
      </c>
      <c r="E135" t="n">
        <v>289.787</v>
      </c>
      <c r="F135" t="n">
        <v>240.489</v>
      </c>
    </row>
    <row r="136">
      <c r="A136" t="inlineStr">
        <is>
          <t>2014-01</t>
        </is>
      </c>
      <c r="B136" t="inlineStr">
        <is>
          <t>enero 2014</t>
        </is>
      </c>
      <c r="C136" t="inlineStr">
        <is>
          <t>A</t>
        </is>
      </c>
      <c r="D136" t="n">
        <v>11</v>
      </c>
      <c r="E136" t="n">
        <v>300.497</v>
      </c>
      <c r="F136" t="n">
        <v>240.613</v>
      </c>
    </row>
    <row r="137">
      <c r="A137" t="inlineStr">
        <is>
          <t>2014-01</t>
        </is>
      </c>
      <c r="B137" t="inlineStr">
        <is>
          <t>enero 2014</t>
        </is>
      </c>
      <c r="C137" t="inlineStr">
        <is>
          <t>A</t>
        </is>
      </c>
      <c r="D137" t="n">
        <v>12</v>
      </c>
      <c r="E137" t="n">
        <v>305.952</v>
      </c>
      <c r="F137" t="n">
        <v>240.628</v>
      </c>
    </row>
    <row r="138">
      <c r="A138" t="inlineStr">
        <is>
          <t>2014-01</t>
        </is>
      </c>
      <c r="B138" t="inlineStr">
        <is>
          <t>enero 2014</t>
        </is>
      </c>
      <c r="C138" t="inlineStr">
        <is>
          <t>A</t>
        </is>
      </c>
      <c r="D138" t="n">
        <v>13</v>
      </c>
      <c r="E138" t="n">
        <v>310.727</v>
      </c>
      <c r="F138" t="n">
        <v>236.502</v>
      </c>
    </row>
    <row r="139">
      <c r="A139" t="inlineStr">
        <is>
          <t>2014-01</t>
        </is>
      </c>
      <c r="B139" t="inlineStr">
        <is>
          <t>enero 2014</t>
        </is>
      </c>
      <c r="C139" t="inlineStr">
        <is>
          <t>A</t>
        </is>
      </c>
      <c r="D139" t="n">
        <v>14</v>
      </c>
      <c r="E139" t="n">
        <v>318.841</v>
      </c>
      <c r="F139" t="n">
        <v>227.717</v>
      </c>
    </row>
    <row r="140">
      <c r="A140" t="inlineStr">
        <is>
          <t>2014-01</t>
        </is>
      </c>
      <c r="B140" t="inlineStr">
        <is>
          <t>enero 2014</t>
        </is>
      </c>
      <c r="C140" t="inlineStr">
        <is>
          <t>A</t>
        </is>
      </c>
      <c r="D140" t="n">
        <v>15</v>
      </c>
      <c r="E140" t="n">
        <v>322.26</v>
      </c>
      <c r="F140" t="n">
        <v>227.328</v>
      </c>
    </row>
    <row r="141">
      <c r="A141" t="inlineStr">
        <is>
          <t>2014-01</t>
        </is>
      </c>
      <c r="B141" t="inlineStr">
        <is>
          <t>enero 2014</t>
        </is>
      </c>
      <c r="C141" t="inlineStr">
        <is>
          <t>A</t>
        </is>
      </c>
      <c r="D141" t="n">
        <v>16</v>
      </c>
      <c r="E141" t="n">
        <v>328.357</v>
      </c>
      <c r="F141" t="n">
        <v>227.719</v>
      </c>
    </row>
    <row r="142">
      <c r="A142" t="inlineStr">
        <is>
          <t>2014-01</t>
        </is>
      </c>
      <c r="B142" t="inlineStr">
        <is>
          <t>enero 2014</t>
        </is>
      </c>
      <c r="C142" t="inlineStr">
        <is>
          <t>A</t>
        </is>
      </c>
      <c r="D142" t="n">
        <v>17</v>
      </c>
      <c r="E142" t="n">
        <v>334.927</v>
      </c>
      <c r="F142" t="n">
        <v>227.84</v>
      </c>
    </row>
    <row r="143">
      <c r="A143" t="inlineStr">
        <is>
          <t>2014-01</t>
        </is>
      </c>
      <c r="B143" t="inlineStr">
        <is>
          <t>enero 2014</t>
        </is>
      </c>
      <c r="C143" t="inlineStr">
        <is>
          <t>A</t>
        </is>
      </c>
      <c r="D143" t="n">
        <v>18</v>
      </c>
      <c r="E143" t="n">
        <v>340.906</v>
      </c>
      <c r="F143" t="n">
        <v>227.623</v>
      </c>
    </row>
    <row r="144">
      <c r="A144" t="inlineStr">
        <is>
          <t>2014-01</t>
        </is>
      </c>
      <c r="B144" t="inlineStr">
        <is>
          <t>enero 2014</t>
        </is>
      </c>
      <c r="C144" t="inlineStr">
        <is>
          <t>A</t>
        </is>
      </c>
      <c r="D144" t="n">
        <v>19</v>
      </c>
      <c r="E144" t="n">
        <v>355.966</v>
      </c>
      <c r="F144" t="n">
        <v>227.209</v>
      </c>
    </row>
    <row r="145">
      <c r="A145" t="inlineStr">
        <is>
          <t>2014-01</t>
        </is>
      </c>
      <c r="B145" t="inlineStr">
        <is>
          <t>enero 2014</t>
        </is>
      </c>
      <c r="C145" t="inlineStr">
        <is>
          <t>A</t>
        </is>
      </c>
      <c r="D145" t="n">
        <v>20</v>
      </c>
      <c r="E145" t="n">
        <v>365.57</v>
      </c>
      <c r="F145" t="n">
        <v>228.354</v>
      </c>
    </row>
    <row r="146">
      <c r="A146" t="inlineStr">
        <is>
          <t>2014-01</t>
        </is>
      </c>
      <c r="B146" t="inlineStr">
        <is>
          <t>enero 2014</t>
        </is>
      </c>
      <c r="C146" t="inlineStr">
        <is>
          <t>A</t>
        </is>
      </c>
      <c r="D146" t="n">
        <v>21</v>
      </c>
      <c r="E146" t="n">
        <v>368.08</v>
      </c>
      <c r="F146" t="n">
        <v>228.711</v>
      </c>
    </row>
    <row r="147">
      <c r="A147" t="inlineStr">
        <is>
          <t>2014-01</t>
        </is>
      </c>
      <c r="B147" t="inlineStr">
        <is>
          <t>enero 2014</t>
        </is>
      </c>
      <c r="C147" t="inlineStr">
        <is>
          <t>A</t>
        </is>
      </c>
      <c r="D147" t="n">
        <v>22</v>
      </c>
      <c r="E147" t="n">
        <v>368.9</v>
      </c>
      <c r="F147" t="n">
        <v>228.718</v>
      </c>
    </row>
    <row r="148">
      <c r="A148" t="inlineStr">
        <is>
          <t>2014-01</t>
        </is>
      </c>
      <c r="B148" t="inlineStr">
        <is>
          <t>enero 2014</t>
        </is>
      </c>
      <c r="C148" t="inlineStr">
        <is>
          <t>A</t>
        </is>
      </c>
      <c r="D148" t="n">
        <v>23</v>
      </c>
      <c r="E148" t="n">
        <v>383.941</v>
      </c>
      <c r="F148" t="n">
        <v>228.623</v>
      </c>
    </row>
    <row r="149">
      <c r="A149" t="inlineStr">
        <is>
          <t>2014-01</t>
        </is>
      </c>
      <c r="B149" t="inlineStr">
        <is>
          <t>enero 2014</t>
        </is>
      </c>
      <c r="C149" t="inlineStr">
        <is>
          <t>A</t>
        </is>
      </c>
      <c r="D149" t="n">
        <v>24</v>
      </c>
      <c r="E149" t="n">
        <v>407.854</v>
      </c>
      <c r="F149" t="n">
        <v>230.014</v>
      </c>
    </row>
    <row r="150">
      <c r="A150" t="inlineStr">
        <is>
          <t>2014-01</t>
        </is>
      </c>
      <c r="B150" t="inlineStr">
        <is>
          <t>enero 2014</t>
        </is>
      </c>
      <c r="C150" t="inlineStr">
        <is>
          <t>A</t>
        </is>
      </c>
      <c r="D150" t="n">
        <v>25</v>
      </c>
      <c r="E150" t="n">
        <v>415.826</v>
      </c>
      <c r="F150" t="n">
        <v>231.029</v>
      </c>
    </row>
    <row r="151">
      <c r="A151" t="inlineStr">
        <is>
          <t>2014-01</t>
        </is>
      </c>
      <c r="B151" t="inlineStr">
        <is>
          <t>enero 2014</t>
        </is>
      </c>
      <c r="C151" t="inlineStr">
        <is>
          <t>A</t>
        </is>
      </c>
      <c r="D151" t="n">
        <v>26</v>
      </c>
      <c r="E151" t="n">
        <v>431.805</v>
      </c>
      <c r="F151" t="n">
        <v>230.956</v>
      </c>
    </row>
    <row r="152">
      <c r="A152" t="inlineStr">
        <is>
          <t>2014-01</t>
        </is>
      </c>
      <c r="B152" t="inlineStr">
        <is>
          <t>enero 2014</t>
        </is>
      </c>
      <c r="C152" t="inlineStr">
        <is>
          <t>A</t>
        </is>
      </c>
      <c r="D152" t="n">
        <v>27</v>
      </c>
      <c r="E152" t="n">
        <v>448.665</v>
      </c>
      <c r="F152" t="n">
        <v>230.692</v>
      </c>
    </row>
    <row r="153">
      <c r="A153" t="inlineStr">
        <is>
          <t>2014-01</t>
        </is>
      </c>
      <c r="B153" t="inlineStr">
        <is>
          <t>enero 2014</t>
        </is>
      </c>
      <c r="C153" t="inlineStr">
        <is>
          <t>A</t>
        </is>
      </c>
      <c r="D153" t="n">
        <v>28</v>
      </c>
      <c r="E153" t="n">
        <v>460.69</v>
      </c>
      <c r="F153" t="n">
        <v>230.6</v>
      </c>
    </row>
    <row r="154">
      <c r="A154" t="inlineStr">
        <is>
          <t>2014-01</t>
        </is>
      </c>
      <c r="B154" t="inlineStr">
        <is>
          <t>enero 2014</t>
        </is>
      </c>
      <c r="C154" t="inlineStr">
        <is>
          <t>A</t>
        </is>
      </c>
      <c r="D154" t="n">
        <v>29</v>
      </c>
      <c r="E154" t="n">
        <v>473.235</v>
      </c>
      <c r="F154" t="n">
        <v>230.693</v>
      </c>
    </row>
    <row r="155">
      <c r="A155" t="inlineStr">
        <is>
          <t>2014-01</t>
        </is>
      </c>
      <c r="B155" t="inlineStr">
        <is>
          <t>enero 2014</t>
        </is>
      </c>
      <c r="C155" t="inlineStr">
        <is>
          <t>A</t>
        </is>
      </c>
      <c r="D155" t="n">
        <v>30</v>
      </c>
      <c r="E155" t="n">
        <v>491.099</v>
      </c>
      <c r="F155" t="n">
        <v>231.321</v>
      </c>
    </row>
    <row r="156">
      <c r="A156" t="inlineStr">
        <is>
          <t>2014-01</t>
        </is>
      </c>
      <c r="B156" t="inlineStr">
        <is>
          <t>enero 2014</t>
        </is>
      </c>
      <c r="C156" t="inlineStr">
        <is>
          <t>A</t>
        </is>
      </c>
      <c r="D156" t="n">
        <v>31</v>
      </c>
      <c r="E156" t="n">
        <v>505.923</v>
      </c>
      <c r="F156" t="n">
        <v>231.76</v>
      </c>
    </row>
    <row r="157">
      <c r="A157" t="inlineStr">
        <is>
          <t>2014-01</t>
        </is>
      </c>
      <c r="B157" t="inlineStr">
        <is>
          <t>enero 2014</t>
        </is>
      </c>
      <c r="C157" t="inlineStr">
        <is>
          <t>A</t>
        </is>
      </c>
      <c r="D157" t="n">
        <v>32</v>
      </c>
      <c r="E157" t="n">
        <v>560.819</v>
      </c>
      <c r="F157" t="n">
        <v>233.774</v>
      </c>
    </row>
    <row r="158">
      <c r="A158" t="inlineStr">
        <is>
          <t>2014-01</t>
        </is>
      </c>
      <c r="B158" t="inlineStr">
        <is>
          <t>enero 2014</t>
        </is>
      </c>
      <c r="C158" t="inlineStr">
        <is>
          <t>A</t>
        </is>
      </c>
      <c r="D158" t="n">
        <v>33</v>
      </c>
      <c r="E158" t="n">
        <v>587.28</v>
      </c>
      <c r="F158" t="n">
        <v>233.936</v>
      </c>
    </row>
    <row r="159">
      <c r="A159" t="inlineStr">
        <is>
          <t>2014-01</t>
        </is>
      </c>
      <c r="B159" t="inlineStr">
        <is>
          <t>enero 2014</t>
        </is>
      </c>
      <c r="C159" t="inlineStr">
        <is>
          <t>A</t>
        </is>
      </c>
      <c r="D159" t="n">
        <v>34</v>
      </c>
      <c r="E159" t="n">
        <v>592.9299999999999</v>
      </c>
      <c r="F159" t="n">
        <v>234.999</v>
      </c>
    </row>
    <row r="160">
      <c r="A160" t="inlineStr">
        <is>
          <t>2014-01</t>
        </is>
      </c>
      <c r="B160" t="inlineStr">
        <is>
          <t>enero 2014</t>
        </is>
      </c>
      <c r="C160" t="inlineStr">
        <is>
          <t>A</t>
        </is>
      </c>
      <c r="D160" t="n">
        <v>35</v>
      </c>
      <c r="E160" t="n">
        <v>624.388</v>
      </c>
      <c r="F160" t="n">
        <v>240.757</v>
      </c>
    </row>
    <row r="161">
      <c r="A161" t="inlineStr">
        <is>
          <t>2014-01</t>
        </is>
      </c>
      <c r="B161" t="inlineStr">
        <is>
          <t>enero 2014</t>
        </is>
      </c>
      <c r="C161" t="inlineStr">
        <is>
          <t>A</t>
        </is>
      </c>
      <c r="D161" t="n">
        <v>36</v>
      </c>
      <c r="E161" t="n">
        <v>628.0599999999999</v>
      </c>
      <c r="F161" t="n">
        <v>241.566</v>
      </c>
    </row>
    <row r="162">
      <c r="A162" t="inlineStr">
        <is>
          <t>2014-01</t>
        </is>
      </c>
      <c r="B162" t="inlineStr">
        <is>
          <t>enero 2014</t>
        </is>
      </c>
      <c r="C162" t="inlineStr">
        <is>
          <t>A</t>
        </is>
      </c>
      <c r="D162" t="n">
        <v>37</v>
      </c>
      <c r="E162" t="n">
        <v>841.626</v>
      </c>
      <c r="F162" t="n">
        <v>240.514</v>
      </c>
    </row>
    <row r="163">
      <c r="A163" t="inlineStr">
        <is>
          <t>2014-01</t>
        </is>
      </c>
      <c r="B163" t="inlineStr">
        <is>
          <t>enero 2014</t>
        </is>
      </c>
      <c r="C163" t="inlineStr">
        <is>
          <t>B</t>
        </is>
      </c>
      <c r="D163" t="n">
        <v>1</v>
      </c>
      <c r="E163" t="n">
        <v>0</v>
      </c>
      <c r="F163" t="n">
        <v>243.497</v>
      </c>
    </row>
    <row r="164">
      <c r="A164" t="inlineStr">
        <is>
          <t>2014-01</t>
        </is>
      </c>
      <c r="B164" t="inlineStr">
        <is>
          <t>enero 2014</t>
        </is>
      </c>
      <c r="C164" t="inlineStr">
        <is>
          <t>B</t>
        </is>
      </c>
      <c r="D164" t="n">
        <v>2</v>
      </c>
      <c r="E164" t="n">
        <v>48.775</v>
      </c>
      <c r="F164" t="n">
        <v>243.294</v>
      </c>
    </row>
    <row r="165">
      <c r="A165" t="inlineStr">
        <is>
          <t>2014-01</t>
        </is>
      </c>
      <c r="B165" t="inlineStr">
        <is>
          <t>enero 2014</t>
        </is>
      </c>
      <c r="C165" t="inlineStr">
        <is>
          <t>B</t>
        </is>
      </c>
      <c r="D165" t="n">
        <v>3</v>
      </c>
      <c r="E165" t="n">
        <v>49.081</v>
      </c>
      <c r="F165" t="n">
        <v>243.289</v>
      </c>
    </row>
    <row r="166">
      <c r="A166" t="inlineStr">
        <is>
          <t>2014-01</t>
        </is>
      </c>
      <c r="B166" t="inlineStr">
        <is>
          <t>enero 2014</t>
        </is>
      </c>
      <c r="C166" t="inlineStr">
        <is>
          <t>B</t>
        </is>
      </c>
      <c r="D166" t="n">
        <v>4</v>
      </c>
      <c r="E166" t="n">
        <v>50.161</v>
      </c>
      <c r="F166" t="n">
        <v>242.741</v>
      </c>
    </row>
    <row r="167">
      <c r="A167" t="inlineStr">
        <is>
          <t>2014-01</t>
        </is>
      </c>
      <c r="B167" t="inlineStr">
        <is>
          <t>enero 2014</t>
        </is>
      </c>
      <c r="C167" t="inlineStr">
        <is>
          <t>B</t>
        </is>
      </c>
      <c r="D167" t="n">
        <v>5</v>
      </c>
      <c r="E167" t="n">
        <v>62.166</v>
      </c>
      <c r="F167" t="n">
        <v>237.147</v>
      </c>
    </row>
    <row r="168">
      <c r="A168" t="inlineStr">
        <is>
          <t>2014-01</t>
        </is>
      </c>
      <c r="B168" t="inlineStr">
        <is>
          <t>enero 2014</t>
        </is>
      </c>
      <c r="C168" t="inlineStr">
        <is>
          <t>B</t>
        </is>
      </c>
      <c r="D168" t="n">
        <v>6</v>
      </c>
      <c r="E168" t="n">
        <v>77.28</v>
      </c>
      <c r="F168" t="n">
        <v>237.14</v>
      </c>
    </row>
    <row r="169">
      <c r="A169" t="inlineStr">
        <is>
          <t>2014-01</t>
        </is>
      </c>
      <c r="B169" t="inlineStr">
        <is>
          <t>enero 2014</t>
        </is>
      </c>
      <c r="C169" t="inlineStr">
        <is>
          <t>B</t>
        </is>
      </c>
      <c r="D169" t="n">
        <v>7</v>
      </c>
      <c r="E169" t="n">
        <v>109.524</v>
      </c>
      <c r="F169" t="n">
        <v>236.875</v>
      </c>
    </row>
    <row r="170">
      <c r="A170" t="inlineStr">
        <is>
          <t>2014-01</t>
        </is>
      </c>
      <c r="B170" t="inlineStr">
        <is>
          <t>enero 2014</t>
        </is>
      </c>
      <c r="C170" t="inlineStr">
        <is>
          <t>B</t>
        </is>
      </c>
      <c r="D170" t="n">
        <v>8</v>
      </c>
      <c r="E170" t="n">
        <v>115.293</v>
      </c>
      <c r="F170" t="n">
        <v>235.108</v>
      </c>
    </row>
    <row r="171">
      <c r="A171" t="inlineStr">
        <is>
          <t>2014-01</t>
        </is>
      </c>
      <c r="B171" t="inlineStr">
        <is>
          <t>enero 2014</t>
        </is>
      </c>
      <c r="C171" t="inlineStr">
        <is>
          <t>B</t>
        </is>
      </c>
      <c r="D171" t="n">
        <v>9</v>
      </c>
      <c r="E171" t="n">
        <v>115.742</v>
      </c>
      <c r="F171" t="n">
        <v>234.985</v>
      </c>
    </row>
    <row r="172">
      <c r="A172" t="inlineStr">
        <is>
          <t>2014-01</t>
        </is>
      </c>
      <c r="B172" t="inlineStr">
        <is>
          <t>enero 2014</t>
        </is>
      </c>
      <c r="C172" t="inlineStr">
        <is>
          <t>B</t>
        </is>
      </c>
      <c r="D172" t="n">
        <v>10</v>
      </c>
      <c r="E172" t="n">
        <v>116.743</v>
      </c>
      <c r="F172" t="n">
        <v>234.98</v>
      </c>
    </row>
    <row r="173">
      <c r="A173" t="inlineStr">
        <is>
          <t>2014-01</t>
        </is>
      </c>
      <c r="B173" t="inlineStr">
        <is>
          <t>enero 2014</t>
        </is>
      </c>
      <c r="C173" t="inlineStr">
        <is>
          <t>B</t>
        </is>
      </c>
      <c r="D173" t="n">
        <v>11</v>
      </c>
      <c r="E173" t="n">
        <v>134</v>
      </c>
      <c r="F173" t="n">
        <v>234.884</v>
      </c>
    </row>
    <row r="174">
      <c r="A174" t="inlineStr">
        <is>
          <t>2014-01</t>
        </is>
      </c>
      <c r="B174" t="inlineStr">
        <is>
          <t>enero 2014</t>
        </is>
      </c>
      <c r="C174" t="inlineStr">
        <is>
          <t>B</t>
        </is>
      </c>
      <c r="D174" t="n">
        <v>12</v>
      </c>
      <c r="E174" t="n">
        <v>158.32</v>
      </c>
      <c r="F174" t="n">
        <v>237.725</v>
      </c>
    </row>
    <row r="175">
      <c r="A175" t="inlineStr">
        <is>
          <t>2014-01</t>
        </is>
      </c>
      <c r="B175" t="inlineStr">
        <is>
          <t>enero 2014</t>
        </is>
      </c>
      <c r="C175" t="inlineStr">
        <is>
          <t>B</t>
        </is>
      </c>
      <c r="D175" t="n">
        <v>13</v>
      </c>
      <c r="E175" t="n">
        <v>159.961</v>
      </c>
      <c r="F175" t="n">
        <v>237.847</v>
      </c>
    </row>
    <row r="176">
      <c r="A176" t="inlineStr">
        <is>
          <t>2014-01</t>
        </is>
      </c>
      <c r="B176" t="inlineStr">
        <is>
          <t>enero 2014</t>
        </is>
      </c>
      <c r="C176" t="inlineStr">
        <is>
          <t>B</t>
        </is>
      </c>
      <c r="D176" t="n">
        <v>14</v>
      </c>
      <c r="E176" t="n">
        <v>161.078</v>
      </c>
      <c r="F176" t="n">
        <v>237.838</v>
      </c>
    </row>
    <row r="177">
      <c r="A177" t="inlineStr">
        <is>
          <t>2014-01</t>
        </is>
      </c>
      <c r="B177" t="inlineStr">
        <is>
          <t>enero 2014</t>
        </is>
      </c>
      <c r="C177" t="inlineStr">
        <is>
          <t>B</t>
        </is>
      </c>
      <c r="D177" t="n">
        <v>15</v>
      </c>
      <c r="E177" t="n">
        <v>164.641</v>
      </c>
      <c r="F177" t="n">
        <v>237.684</v>
      </c>
    </row>
    <row r="178">
      <c r="A178" t="inlineStr">
        <is>
          <t>2014-01</t>
        </is>
      </c>
      <c r="B178" t="inlineStr">
        <is>
          <t>enero 2014</t>
        </is>
      </c>
      <c r="C178" t="inlineStr">
        <is>
          <t>B</t>
        </is>
      </c>
      <c r="D178" t="n">
        <v>16</v>
      </c>
      <c r="E178" t="n">
        <v>225.405</v>
      </c>
      <c r="F178" t="n">
        <v>234.015</v>
      </c>
    </row>
    <row r="179">
      <c r="A179" t="inlineStr">
        <is>
          <t>2014-01</t>
        </is>
      </c>
      <c r="B179" t="inlineStr">
        <is>
          <t>enero 2014</t>
        </is>
      </c>
      <c r="C179" t="inlineStr">
        <is>
          <t>B</t>
        </is>
      </c>
      <c r="D179" t="n">
        <v>17</v>
      </c>
      <c r="E179" t="n">
        <v>232.713</v>
      </c>
      <c r="F179" t="n">
        <v>234.005</v>
      </c>
    </row>
    <row r="180">
      <c r="A180" t="inlineStr">
        <is>
          <t>2014-01</t>
        </is>
      </c>
      <c r="B180" t="inlineStr">
        <is>
          <t>enero 2014</t>
        </is>
      </c>
      <c r="C180" t="inlineStr">
        <is>
          <t>B</t>
        </is>
      </c>
      <c r="D180" t="n">
        <v>18</v>
      </c>
      <c r="E180" t="n">
        <v>240.843</v>
      </c>
      <c r="F180" t="n">
        <v>234</v>
      </c>
    </row>
    <row r="181">
      <c r="A181" t="inlineStr">
        <is>
          <t>2014-01</t>
        </is>
      </c>
      <c r="B181" t="inlineStr">
        <is>
          <t>enero 2014</t>
        </is>
      </c>
      <c r="C181" t="inlineStr">
        <is>
          <t>B</t>
        </is>
      </c>
      <c r="D181" t="n">
        <v>19</v>
      </c>
      <c r="E181" t="n">
        <v>242.249</v>
      </c>
      <c r="F181" t="n">
        <v>234.65</v>
      </c>
    </row>
    <row r="182">
      <c r="A182" t="inlineStr">
        <is>
          <t>2014-01</t>
        </is>
      </c>
      <c r="B182" t="inlineStr">
        <is>
          <t>enero 2014</t>
        </is>
      </c>
      <c r="C182" t="inlineStr">
        <is>
          <t>B</t>
        </is>
      </c>
      <c r="D182" t="n">
        <v>20</v>
      </c>
      <c r="E182" t="n">
        <v>247.187</v>
      </c>
      <c r="F182" t="n">
        <v>238.964</v>
      </c>
    </row>
    <row r="183">
      <c r="A183" t="inlineStr">
        <is>
          <t>2014-01</t>
        </is>
      </c>
      <c r="B183" t="inlineStr">
        <is>
          <t>enero 2014</t>
        </is>
      </c>
      <c r="C183" t="inlineStr">
        <is>
          <t>B</t>
        </is>
      </c>
      <c r="D183" t="n">
        <v>21</v>
      </c>
      <c r="E183" t="n">
        <v>252.827</v>
      </c>
      <c r="F183" t="n">
        <v>241.94</v>
      </c>
    </row>
    <row r="184">
      <c r="A184" t="inlineStr">
        <is>
          <t>2014-01</t>
        </is>
      </c>
      <c r="B184" t="inlineStr">
        <is>
          <t>enero 2014</t>
        </is>
      </c>
      <c r="C184" t="inlineStr">
        <is>
          <t>B</t>
        </is>
      </c>
      <c r="D184" t="n">
        <v>22</v>
      </c>
      <c r="E184" t="n">
        <v>255.59</v>
      </c>
      <c r="F184" t="n">
        <v>244.245</v>
      </c>
    </row>
    <row r="185">
      <c r="A185" t="inlineStr">
        <is>
          <t>2014-01</t>
        </is>
      </c>
      <c r="B185" t="inlineStr">
        <is>
          <t>enero 2014</t>
        </is>
      </c>
      <c r="C185" t="inlineStr">
        <is>
          <t>B</t>
        </is>
      </c>
      <c r="D185" t="n">
        <v>23</v>
      </c>
      <c r="E185" t="n">
        <v>258.991</v>
      </c>
      <c r="F185" t="n">
        <v>244.27</v>
      </c>
    </row>
    <row r="186">
      <c r="A186" t="inlineStr">
        <is>
          <t>2014-01</t>
        </is>
      </c>
      <c r="B186" t="inlineStr">
        <is>
          <t>enero 2014</t>
        </is>
      </c>
      <c r="C186" t="inlineStr">
        <is>
          <t>B</t>
        </is>
      </c>
      <c r="D186" t="n">
        <v>24</v>
      </c>
      <c r="E186" t="n">
        <v>262.875</v>
      </c>
      <c r="F186" t="n">
        <v>244.369</v>
      </c>
    </row>
    <row r="187">
      <c r="A187" t="inlineStr">
        <is>
          <t>2014-01</t>
        </is>
      </c>
      <c r="B187" t="inlineStr">
        <is>
          <t>enero 2014</t>
        </is>
      </c>
      <c r="C187" t="inlineStr">
        <is>
          <t>B</t>
        </is>
      </c>
      <c r="D187" t="n">
        <v>25</v>
      </c>
      <c r="E187" t="n">
        <v>271.457</v>
      </c>
      <c r="F187" t="n">
        <v>244.511</v>
      </c>
    </row>
    <row r="188">
      <c r="A188" t="inlineStr">
        <is>
          <t>2014-01</t>
        </is>
      </c>
      <c r="B188" t="inlineStr">
        <is>
          <t>enero 2014</t>
        </is>
      </c>
      <c r="C188" t="inlineStr">
        <is>
          <t>B</t>
        </is>
      </c>
      <c r="D188" t="n">
        <v>26</v>
      </c>
      <c r="E188" t="n">
        <v>278.971</v>
      </c>
      <c r="F188" t="n">
        <v>244.674</v>
      </c>
    </row>
    <row r="189">
      <c r="A189" t="inlineStr">
        <is>
          <t>2014-01</t>
        </is>
      </c>
      <c r="B189" t="inlineStr">
        <is>
          <t>enero 2014</t>
        </is>
      </c>
      <c r="C189" t="inlineStr">
        <is>
          <t>B</t>
        </is>
      </c>
      <c r="D189" t="n">
        <v>27</v>
      </c>
      <c r="E189" t="n">
        <v>279.271</v>
      </c>
      <c r="F189" t="n">
        <v>244.44</v>
      </c>
    </row>
    <row r="190">
      <c r="A190" t="inlineStr">
        <is>
          <t>2014-01</t>
        </is>
      </c>
      <c r="B190" t="inlineStr">
        <is>
          <t>enero 2014</t>
        </is>
      </c>
      <c r="C190" t="inlineStr">
        <is>
          <t>B</t>
        </is>
      </c>
      <c r="D190" t="n">
        <v>28</v>
      </c>
      <c r="E190" t="n">
        <v>286.476</v>
      </c>
      <c r="F190" t="n">
        <v>239.62</v>
      </c>
    </row>
    <row r="191">
      <c r="A191" t="inlineStr">
        <is>
          <t>2014-01</t>
        </is>
      </c>
      <c r="B191" t="inlineStr">
        <is>
          <t>enero 2014</t>
        </is>
      </c>
      <c r="C191" t="inlineStr">
        <is>
          <t>B</t>
        </is>
      </c>
      <c r="D191" t="n">
        <v>29</v>
      </c>
      <c r="E191" t="n">
        <v>306.982</v>
      </c>
      <c r="F191" t="n">
        <v>238.935</v>
      </c>
    </row>
    <row r="192">
      <c r="A192" t="inlineStr">
        <is>
          <t>2014-01</t>
        </is>
      </c>
      <c r="B192" t="inlineStr">
        <is>
          <t>enero 2014</t>
        </is>
      </c>
      <c r="C192" t="inlineStr">
        <is>
          <t>B</t>
        </is>
      </c>
      <c r="D192" t="n">
        <v>30</v>
      </c>
      <c r="E192" t="n">
        <v>324.25</v>
      </c>
      <c r="F192" t="n">
        <v>238.354</v>
      </c>
    </row>
    <row r="193">
      <c r="A193" t="inlineStr">
        <is>
          <t>2014-01</t>
        </is>
      </c>
      <c r="B193" t="inlineStr">
        <is>
          <t>enero 2014</t>
        </is>
      </c>
      <c r="C193" t="inlineStr">
        <is>
          <t>B</t>
        </is>
      </c>
      <c r="D193" t="n">
        <v>31</v>
      </c>
      <c r="E193" t="n">
        <v>357.427</v>
      </c>
      <c r="F193" t="n">
        <v>232.817</v>
      </c>
    </row>
    <row r="194">
      <c r="A194" t="inlineStr">
        <is>
          <t>2014-01</t>
        </is>
      </c>
      <c r="B194" t="inlineStr">
        <is>
          <t>enero 2014</t>
        </is>
      </c>
      <c r="C194" t="inlineStr">
        <is>
          <t>B</t>
        </is>
      </c>
      <c r="D194" t="n">
        <v>32</v>
      </c>
      <c r="E194" t="n">
        <v>357.986</v>
      </c>
      <c r="F194" t="n">
        <v>232.629</v>
      </c>
    </row>
    <row r="195">
      <c r="A195" t="inlineStr">
        <is>
          <t>2014-01</t>
        </is>
      </c>
      <c r="B195" t="inlineStr">
        <is>
          <t>enero 2014</t>
        </is>
      </c>
      <c r="C195" t="inlineStr">
        <is>
          <t>B</t>
        </is>
      </c>
      <c r="D195" t="n">
        <v>33</v>
      </c>
      <c r="E195" t="n">
        <v>358.91</v>
      </c>
      <c r="F195" t="n">
        <v>232.621</v>
      </c>
    </row>
    <row r="196">
      <c r="A196" t="inlineStr">
        <is>
          <t>2014-01</t>
        </is>
      </c>
      <c r="B196" t="inlineStr">
        <is>
          <t>enero 2014</t>
        </is>
      </c>
      <c r="C196" t="inlineStr">
        <is>
          <t>B</t>
        </is>
      </c>
      <c r="D196" t="n">
        <v>34</v>
      </c>
      <c r="E196" t="n">
        <v>359.489</v>
      </c>
      <c r="F196" t="n">
        <v>232.694</v>
      </c>
    </row>
    <row r="197">
      <c r="A197" t="inlineStr">
        <is>
          <t>2014-01</t>
        </is>
      </c>
      <c r="B197" t="inlineStr">
        <is>
          <t>enero 2014</t>
        </is>
      </c>
      <c r="C197" t="inlineStr">
        <is>
          <t>B</t>
        </is>
      </c>
      <c r="D197" t="n">
        <v>35</v>
      </c>
      <c r="E197" t="n">
        <v>359.612</v>
      </c>
      <c r="F197" t="n">
        <v>232.705</v>
      </c>
    </row>
    <row r="198">
      <c r="A198" t="inlineStr">
        <is>
          <t>2014-01</t>
        </is>
      </c>
      <c r="B198" t="inlineStr">
        <is>
          <t>enero 2014</t>
        </is>
      </c>
      <c r="C198" t="inlineStr">
        <is>
          <t>B</t>
        </is>
      </c>
      <c r="D198" t="n">
        <v>36</v>
      </c>
      <c r="E198" t="n">
        <v>365.015</v>
      </c>
      <c r="F198" t="n">
        <v>233.313</v>
      </c>
    </row>
    <row r="199">
      <c r="A199" t="inlineStr">
        <is>
          <t>2014-01</t>
        </is>
      </c>
      <c r="B199" t="inlineStr">
        <is>
          <t>enero 2014</t>
        </is>
      </c>
      <c r="C199" t="inlineStr">
        <is>
          <t>B</t>
        </is>
      </c>
      <c r="D199" t="n">
        <v>37</v>
      </c>
      <c r="E199" t="n">
        <v>365.394</v>
      </c>
      <c r="F199" t="n">
        <v>233.921</v>
      </c>
    </row>
    <row r="200">
      <c r="A200" t="inlineStr">
        <is>
          <t>2014-01</t>
        </is>
      </c>
      <c r="B200" t="inlineStr">
        <is>
          <t>enero 2014</t>
        </is>
      </c>
      <c r="C200" t="inlineStr">
        <is>
          <t>B</t>
        </is>
      </c>
      <c r="D200" t="n">
        <v>38</v>
      </c>
      <c r="E200" t="n">
        <v>368.279</v>
      </c>
      <c r="F200" t="n">
        <v>234.566</v>
      </c>
    </row>
    <row r="201">
      <c r="A201" t="inlineStr">
        <is>
          <t>2014-01</t>
        </is>
      </c>
      <c r="B201" t="inlineStr">
        <is>
          <t>enero 2014</t>
        </is>
      </c>
      <c r="C201" t="inlineStr">
        <is>
          <t>B</t>
        </is>
      </c>
      <c r="D201" t="n">
        <v>39</v>
      </c>
      <c r="E201" t="n">
        <v>368.374</v>
      </c>
      <c r="F201" t="n">
        <v>234.223</v>
      </c>
    </row>
    <row r="202">
      <c r="A202" t="inlineStr">
        <is>
          <t>2014-01</t>
        </is>
      </c>
      <c r="B202" t="inlineStr">
        <is>
          <t>enero 2014</t>
        </is>
      </c>
      <c r="C202" t="inlineStr">
        <is>
          <t>B</t>
        </is>
      </c>
      <c r="D202" t="n">
        <v>40</v>
      </c>
      <c r="E202" t="n">
        <v>370.266</v>
      </c>
      <c r="F202" t="n">
        <v>234.938</v>
      </c>
    </row>
    <row r="203">
      <c r="A203" t="inlineStr">
        <is>
          <t>2014-01</t>
        </is>
      </c>
      <c r="B203" t="inlineStr">
        <is>
          <t>enero 2014</t>
        </is>
      </c>
      <c r="C203" t="inlineStr">
        <is>
          <t>B</t>
        </is>
      </c>
      <c r="D203" t="n">
        <v>41</v>
      </c>
      <c r="E203" t="n">
        <v>377.468</v>
      </c>
      <c r="F203" t="n">
        <v>244.327</v>
      </c>
    </row>
    <row r="204">
      <c r="A204" t="inlineStr">
        <is>
          <t>2014-01</t>
        </is>
      </c>
      <c r="B204" t="inlineStr">
        <is>
          <t>enero 2014</t>
        </is>
      </c>
      <c r="C204" t="inlineStr">
        <is>
          <t>B</t>
        </is>
      </c>
      <c r="D204" t="n">
        <v>42</v>
      </c>
      <c r="E204" t="n">
        <v>379.348</v>
      </c>
      <c r="F204" t="n">
        <v>244.334</v>
      </c>
    </row>
    <row r="205">
      <c r="A205" t="inlineStr">
        <is>
          <t>2014-01</t>
        </is>
      </c>
      <c r="B205" t="inlineStr">
        <is>
          <t>enero 2014</t>
        </is>
      </c>
      <c r="C205" t="inlineStr">
        <is>
          <t>B</t>
        </is>
      </c>
      <c r="D205" t="n">
        <v>43</v>
      </c>
      <c r="E205" t="n">
        <v>439.725</v>
      </c>
      <c r="F205" t="n">
        <v>245.269</v>
      </c>
    </row>
    <row r="206">
      <c r="A206" t="inlineStr">
        <is>
          <t>2014-01</t>
        </is>
      </c>
      <c r="B206" t="inlineStr">
        <is>
          <t>enero 2014</t>
        </is>
      </c>
      <c r="C206" t="inlineStr">
        <is>
          <t>C</t>
        </is>
      </c>
      <c r="D206" t="n">
        <v>1</v>
      </c>
      <c r="E206" t="n">
        <v>0</v>
      </c>
      <c r="F206" t="n">
        <v>249.175</v>
      </c>
    </row>
    <row r="207">
      <c r="A207" t="inlineStr">
        <is>
          <t>2014-01</t>
        </is>
      </c>
      <c r="B207" t="inlineStr">
        <is>
          <t>enero 2014</t>
        </is>
      </c>
      <c r="C207" t="inlineStr">
        <is>
          <t>C</t>
        </is>
      </c>
      <c r="D207" t="n">
        <v>2</v>
      </c>
      <c r="E207" t="n">
        <v>44.631</v>
      </c>
      <c r="F207" t="n">
        <v>249.106</v>
      </c>
    </row>
    <row r="208">
      <c r="A208" t="inlineStr">
        <is>
          <t>2014-01</t>
        </is>
      </c>
      <c r="B208" t="inlineStr">
        <is>
          <t>enero 2014</t>
        </is>
      </c>
      <c r="C208" t="inlineStr">
        <is>
          <t>C</t>
        </is>
      </c>
      <c r="D208" t="n">
        <v>3</v>
      </c>
      <c r="E208" t="n">
        <v>45.236</v>
      </c>
      <c r="F208" t="n">
        <v>249.076</v>
      </c>
    </row>
    <row r="209">
      <c r="A209" t="inlineStr">
        <is>
          <t>2014-01</t>
        </is>
      </c>
      <c r="B209" t="inlineStr">
        <is>
          <t>enero 2014</t>
        </is>
      </c>
      <c r="C209" t="inlineStr">
        <is>
          <t>C</t>
        </is>
      </c>
      <c r="D209" t="n">
        <v>4</v>
      </c>
      <c r="E209" t="n">
        <v>49.091</v>
      </c>
      <c r="F209" t="n">
        <v>249.048</v>
      </c>
    </row>
    <row r="210">
      <c r="A210" t="inlineStr">
        <is>
          <t>2014-01</t>
        </is>
      </c>
      <c r="B210" t="inlineStr">
        <is>
          <t>enero 2014</t>
        </is>
      </c>
      <c r="C210" t="inlineStr">
        <is>
          <t>C</t>
        </is>
      </c>
      <c r="D210" t="n">
        <v>5</v>
      </c>
      <c r="E210" t="n">
        <v>58.176</v>
      </c>
      <c r="F210" t="n">
        <v>246.078</v>
      </c>
    </row>
    <row r="211">
      <c r="A211" t="inlineStr">
        <is>
          <t>2014-01</t>
        </is>
      </c>
      <c r="B211" t="inlineStr">
        <is>
          <t>enero 2014</t>
        </is>
      </c>
      <c r="C211" t="inlineStr">
        <is>
          <t>C</t>
        </is>
      </c>
      <c r="D211" t="n">
        <v>6</v>
      </c>
      <c r="E211" t="n">
        <v>64.926</v>
      </c>
      <c r="F211" t="n">
        <v>244.262</v>
      </c>
    </row>
    <row r="212">
      <c r="A212" t="inlineStr">
        <is>
          <t>2014-01</t>
        </is>
      </c>
      <c r="B212" t="inlineStr">
        <is>
          <t>enero 2014</t>
        </is>
      </c>
      <c r="C212" t="inlineStr">
        <is>
          <t>C</t>
        </is>
      </c>
      <c r="D212" t="n">
        <v>7</v>
      </c>
      <c r="E212" t="n">
        <v>71.55200000000001</v>
      </c>
      <c r="F212" t="n">
        <v>244.461</v>
      </c>
    </row>
    <row r="213">
      <c r="A213" t="inlineStr">
        <is>
          <t>2014-01</t>
        </is>
      </c>
      <c r="B213" t="inlineStr">
        <is>
          <t>enero 2014</t>
        </is>
      </c>
      <c r="C213" t="inlineStr">
        <is>
          <t>C</t>
        </is>
      </c>
      <c r="D213" t="n">
        <v>8</v>
      </c>
      <c r="E213" t="n">
        <v>93.54600000000001</v>
      </c>
      <c r="F213" t="n">
        <v>244.307</v>
      </c>
    </row>
    <row r="214">
      <c r="A214" t="inlineStr">
        <is>
          <t>2014-01</t>
        </is>
      </c>
      <c r="B214" t="inlineStr">
        <is>
          <t>enero 2014</t>
        </is>
      </c>
      <c r="C214" t="inlineStr">
        <is>
          <t>C</t>
        </is>
      </c>
      <c r="D214" t="n">
        <v>9</v>
      </c>
      <c r="E214" t="n">
        <v>99.218</v>
      </c>
      <c r="F214" t="n">
        <v>243.63</v>
      </c>
    </row>
    <row r="215">
      <c r="A215" t="inlineStr">
        <is>
          <t>2014-01</t>
        </is>
      </c>
      <c r="B215" t="inlineStr">
        <is>
          <t>enero 2014</t>
        </is>
      </c>
      <c r="C215" t="inlineStr">
        <is>
          <t>C</t>
        </is>
      </c>
      <c r="D215" t="n">
        <v>10</v>
      </c>
      <c r="E215" t="n">
        <v>102.243</v>
      </c>
      <c r="F215" t="n">
        <v>243.616</v>
      </c>
    </row>
    <row r="216">
      <c r="A216" t="inlineStr">
        <is>
          <t>2014-01</t>
        </is>
      </c>
      <c r="B216" t="inlineStr">
        <is>
          <t>enero 2014</t>
        </is>
      </c>
      <c r="C216" t="inlineStr">
        <is>
          <t>C</t>
        </is>
      </c>
      <c r="D216" t="n">
        <v>11</v>
      </c>
      <c r="E216" t="n">
        <v>111.854</v>
      </c>
      <c r="F216" t="n">
        <v>243.972</v>
      </c>
    </row>
    <row r="217">
      <c r="A217" t="inlineStr">
        <is>
          <t>2014-01</t>
        </is>
      </c>
      <c r="B217" t="inlineStr">
        <is>
          <t>enero 2014</t>
        </is>
      </c>
      <c r="C217" t="inlineStr">
        <is>
          <t>C</t>
        </is>
      </c>
      <c r="D217" t="n">
        <v>12</v>
      </c>
      <c r="E217" t="n">
        <v>121.44</v>
      </c>
      <c r="F217" t="n">
        <v>245.422</v>
      </c>
    </row>
    <row r="218">
      <c r="A218" t="inlineStr">
        <is>
          <t>2014-01</t>
        </is>
      </c>
      <c r="B218" t="inlineStr">
        <is>
          <t>enero 2014</t>
        </is>
      </c>
      <c r="C218" t="inlineStr">
        <is>
          <t>C</t>
        </is>
      </c>
      <c r="D218" t="n">
        <v>13</v>
      </c>
      <c r="E218" t="n">
        <v>139.991</v>
      </c>
      <c r="F218" t="n">
        <v>247.215</v>
      </c>
    </row>
    <row r="219">
      <c r="A219" t="inlineStr">
        <is>
          <t>2014-01</t>
        </is>
      </c>
      <c r="B219" t="inlineStr">
        <is>
          <t>enero 2014</t>
        </is>
      </c>
      <c r="C219" t="inlineStr">
        <is>
          <t>C</t>
        </is>
      </c>
      <c r="D219" t="n">
        <v>14</v>
      </c>
      <c r="E219" t="n">
        <v>176.532</v>
      </c>
      <c r="F219" t="n">
        <v>244.614</v>
      </c>
    </row>
    <row r="220">
      <c r="A220" t="inlineStr">
        <is>
          <t>2014-01</t>
        </is>
      </c>
      <c r="B220" t="inlineStr">
        <is>
          <t>enero 2014</t>
        </is>
      </c>
      <c r="C220" t="inlineStr">
        <is>
          <t>C</t>
        </is>
      </c>
      <c r="D220" t="n">
        <v>15</v>
      </c>
      <c r="E220" t="n">
        <v>180.728</v>
      </c>
      <c r="F220" t="n">
        <v>243.821</v>
      </c>
    </row>
    <row r="221">
      <c r="A221" t="inlineStr">
        <is>
          <t>2014-01</t>
        </is>
      </c>
      <c r="B221" t="inlineStr">
        <is>
          <t>enero 2014</t>
        </is>
      </c>
      <c r="C221" t="inlineStr">
        <is>
          <t>C</t>
        </is>
      </c>
      <c r="D221" t="n">
        <v>16</v>
      </c>
      <c r="E221" t="n">
        <v>180.912</v>
      </c>
      <c r="F221" t="n">
        <v>244.183</v>
      </c>
    </row>
    <row r="222">
      <c r="A222" t="inlineStr">
        <is>
          <t>2014-01</t>
        </is>
      </c>
      <c r="B222" t="inlineStr">
        <is>
          <t>enero 2014</t>
        </is>
      </c>
      <c r="C222" t="inlineStr">
        <is>
          <t>C</t>
        </is>
      </c>
      <c r="D222" t="n">
        <v>17</v>
      </c>
      <c r="E222" t="n">
        <v>182.188</v>
      </c>
      <c r="F222" t="n">
        <v>244.638</v>
      </c>
    </row>
    <row r="223">
      <c r="A223" t="inlineStr">
        <is>
          <t>2014-01</t>
        </is>
      </c>
      <c r="B223" t="inlineStr">
        <is>
          <t>enero 2014</t>
        </is>
      </c>
      <c r="C223" t="inlineStr">
        <is>
          <t>C</t>
        </is>
      </c>
      <c r="D223" t="n">
        <v>18</v>
      </c>
      <c r="E223" t="n">
        <v>185.337</v>
      </c>
      <c r="F223" t="n">
        <v>246.289</v>
      </c>
    </row>
    <row r="224">
      <c r="A224" t="inlineStr">
        <is>
          <t>2014-01</t>
        </is>
      </c>
      <c r="B224" t="inlineStr">
        <is>
          <t>enero 2014</t>
        </is>
      </c>
      <c r="C224" t="inlineStr">
        <is>
          <t>C</t>
        </is>
      </c>
      <c r="D224" t="n">
        <v>19</v>
      </c>
      <c r="E224" t="n">
        <v>194.002</v>
      </c>
      <c r="F224" t="n">
        <v>246.9</v>
      </c>
    </row>
    <row r="225">
      <c r="A225" t="inlineStr">
        <is>
          <t>2014-01</t>
        </is>
      </c>
      <c r="B225" t="inlineStr">
        <is>
          <t>enero 2014</t>
        </is>
      </c>
      <c r="C225" t="inlineStr">
        <is>
          <t>C</t>
        </is>
      </c>
      <c r="D225" t="n">
        <v>20</v>
      </c>
      <c r="E225" t="n">
        <v>198.666</v>
      </c>
      <c r="F225" t="n">
        <v>248.742</v>
      </c>
    </row>
    <row r="226">
      <c r="A226" t="inlineStr">
        <is>
          <t>2014-01</t>
        </is>
      </c>
      <c r="B226" t="inlineStr">
        <is>
          <t>enero 2014</t>
        </is>
      </c>
      <c r="C226" t="inlineStr">
        <is>
          <t>C</t>
        </is>
      </c>
      <c r="D226" t="n">
        <v>21</v>
      </c>
      <c r="E226" t="n">
        <v>201.232</v>
      </c>
      <c r="F226" t="n">
        <v>248.703</v>
      </c>
    </row>
    <row r="227">
      <c r="A227" t="inlineStr">
        <is>
          <t>2014-01</t>
        </is>
      </c>
      <c r="B227" t="inlineStr">
        <is>
          <t>enero 2014</t>
        </is>
      </c>
      <c r="C227" t="inlineStr">
        <is>
          <t>C</t>
        </is>
      </c>
      <c r="D227" t="n">
        <v>22</v>
      </c>
      <c r="E227" t="n">
        <v>288.377</v>
      </c>
      <c r="F227" t="n">
        <v>248.572</v>
      </c>
    </row>
    <row r="228">
      <c r="A228" t="inlineStr">
        <is>
          <t>2018-11</t>
        </is>
      </c>
      <c r="B228" t="inlineStr">
        <is>
          <t>junio 2018</t>
        </is>
      </c>
      <c r="C228" t="inlineStr">
        <is>
          <t>1</t>
        </is>
      </c>
      <c r="D228" t="n">
        <v>1</v>
      </c>
      <c r="E228" t="n">
        <v>0</v>
      </c>
      <c r="F228" t="n">
        <v>230.602</v>
      </c>
    </row>
    <row r="229">
      <c r="A229" t="inlineStr">
        <is>
          <t>2018-11</t>
        </is>
      </c>
      <c r="B229" t="inlineStr">
        <is>
          <t>junio 2018</t>
        </is>
      </c>
      <c r="C229" t="inlineStr">
        <is>
          <t>1</t>
        </is>
      </c>
      <c r="D229" t="n">
        <v>2</v>
      </c>
      <c r="E229" t="n">
        <v>43.468</v>
      </c>
      <c r="F229" t="n">
        <v>232.557</v>
      </c>
    </row>
    <row r="230">
      <c r="A230" t="inlineStr">
        <is>
          <t>2018-11</t>
        </is>
      </c>
      <c r="B230" t="inlineStr">
        <is>
          <t>junio 2018</t>
        </is>
      </c>
      <c r="C230" t="inlineStr">
        <is>
          <t>1</t>
        </is>
      </c>
      <c r="D230" t="n">
        <v>3</v>
      </c>
      <c r="E230" t="n">
        <v>61.808</v>
      </c>
      <c r="F230" t="n">
        <v>234.373</v>
      </c>
    </row>
    <row r="231">
      <c r="A231" t="inlineStr">
        <is>
          <t>2018-11</t>
        </is>
      </c>
      <c r="B231" t="inlineStr">
        <is>
          <t>junio 2018</t>
        </is>
      </c>
      <c r="C231" t="inlineStr">
        <is>
          <t>1</t>
        </is>
      </c>
      <c r="D231" t="n">
        <v>4</v>
      </c>
      <c r="E231" t="n">
        <v>98.715</v>
      </c>
      <c r="F231" t="n">
        <v>237.492</v>
      </c>
    </row>
    <row r="232">
      <c r="A232" t="inlineStr">
        <is>
          <t>2018-11</t>
        </is>
      </c>
      <c r="B232" t="inlineStr">
        <is>
          <t>junio 2018</t>
        </is>
      </c>
      <c r="C232" t="inlineStr">
        <is>
          <t>1</t>
        </is>
      </c>
      <c r="D232" t="n">
        <v>5</v>
      </c>
      <c r="E232" t="n">
        <v>119.332</v>
      </c>
      <c r="F232" t="n">
        <v>239.153</v>
      </c>
    </row>
    <row r="233">
      <c r="A233" t="inlineStr">
        <is>
          <t>2018-11</t>
        </is>
      </c>
      <c r="B233" t="inlineStr">
        <is>
          <t>junio 2018</t>
        </is>
      </c>
      <c r="C233" t="inlineStr">
        <is>
          <t>1</t>
        </is>
      </c>
      <c r="D233" t="n">
        <v>6</v>
      </c>
      <c r="E233" t="n">
        <v>125.28</v>
      </c>
      <c r="F233" t="n">
        <v>239.716</v>
      </c>
    </row>
    <row r="234">
      <c r="A234" t="inlineStr">
        <is>
          <t>2018-11</t>
        </is>
      </c>
      <c r="B234" t="inlineStr">
        <is>
          <t>junio 2018</t>
        </is>
      </c>
      <c r="C234" t="inlineStr">
        <is>
          <t>1</t>
        </is>
      </c>
      <c r="D234" t="n">
        <v>7</v>
      </c>
      <c r="E234" t="n">
        <v>169.379</v>
      </c>
      <c r="F234" t="n">
        <v>239.587</v>
      </c>
    </row>
    <row r="235">
      <c r="A235" t="inlineStr">
        <is>
          <t>2018-11</t>
        </is>
      </c>
      <c r="B235" t="inlineStr">
        <is>
          <t>junio 2018</t>
        </is>
      </c>
      <c r="C235" t="inlineStr">
        <is>
          <t>1</t>
        </is>
      </c>
      <c r="D235" t="n">
        <v>8</v>
      </c>
      <c r="E235" t="n">
        <v>172.381</v>
      </c>
      <c r="F235" t="n">
        <v>239.548</v>
      </c>
    </row>
    <row r="236">
      <c r="A236" t="inlineStr">
        <is>
          <t>2018-11</t>
        </is>
      </c>
      <c r="B236" t="inlineStr">
        <is>
          <t>junio 2018</t>
        </is>
      </c>
      <c r="C236" t="inlineStr">
        <is>
          <t>1</t>
        </is>
      </c>
      <c r="D236" t="n">
        <v>9</v>
      </c>
      <c r="E236" t="n">
        <v>176.531</v>
      </c>
      <c r="F236" t="n">
        <v>239.542</v>
      </c>
    </row>
    <row r="237">
      <c r="A237" t="inlineStr">
        <is>
          <t>2018-11</t>
        </is>
      </c>
      <c r="B237" t="inlineStr">
        <is>
          <t>junio 2018</t>
        </is>
      </c>
      <c r="C237" t="inlineStr">
        <is>
          <t>1</t>
        </is>
      </c>
      <c r="D237" t="n">
        <v>10</v>
      </c>
      <c r="E237" t="n">
        <v>217.091</v>
      </c>
      <c r="F237" t="n">
        <v>239.922</v>
      </c>
    </row>
    <row r="238">
      <c r="A238" t="inlineStr">
        <is>
          <t>2018-11</t>
        </is>
      </c>
      <c r="B238" t="inlineStr">
        <is>
          <t>junio 2018</t>
        </is>
      </c>
      <c r="C238" t="inlineStr">
        <is>
          <t>1</t>
        </is>
      </c>
      <c r="D238" t="n">
        <v>11</v>
      </c>
      <c r="E238" t="n">
        <v>237.287</v>
      </c>
      <c r="F238" t="n">
        <v>227.242</v>
      </c>
    </row>
    <row r="239">
      <c r="A239" t="inlineStr">
        <is>
          <t>2018-11</t>
        </is>
      </c>
      <c r="B239" t="inlineStr">
        <is>
          <t>junio 2018</t>
        </is>
      </c>
      <c r="C239" t="inlineStr">
        <is>
          <t>1</t>
        </is>
      </c>
      <c r="D239" t="n">
        <v>12</v>
      </c>
      <c r="E239" t="n">
        <v>239.522</v>
      </c>
      <c r="F239" t="n">
        <v>226.007</v>
      </c>
    </row>
    <row r="240">
      <c r="A240" t="inlineStr">
        <is>
          <t>2018-11</t>
        </is>
      </c>
      <c r="B240" t="inlineStr">
        <is>
          <t>junio 2018</t>
        </is>
      </c>
      <c r="C240" t="inlineStr">
        <is>
          <t>1</t>
        </is>
      </c>
      <c r="D240" t="n">
        <v>13</v>
      </c>
      <c r="E240" t="n">
        <v>239.522</v>
      </c>
      <c r="F240" t="n">
        <v>226.007</v>
      </c>
    </row>
    <row r="241">
      <c r="A241" t="inlineStr">
        <is>
          <t>2018-11</t>
        </is>
      </c>
      <c r="B241" t="inlineStr">
        <is>
          <t>junio 2018</t>
        </is>
      </c>
      <c r="C241" t="inlineStr">
        <is>
          <t>1</t>
        </is>
      </c>
      <c r="D241" t="n">
        <v>14</v>
      </c>
      <c r="E241" t="n">
        <v>243.223</v>
      </c>
      <c r="F241" t="n">
        <v>225.804</v>
      </c>
    </row>
    <row r="242">
      <c r="A242" t="inlineStr">
        <is>
          <t>2018-11</t>
        </is>
      </c>
      <c r="B242" t="inlineStr">
        <is>
          <t>junio 2018</t>
        </is>
      </c>
      <c r="C242" t="inlineStr">
        <is>
          <t>1</t>
        </is>
      </c>
      <c r="D242" t="n">
        <v>15</v>
      </c>
      <c r="E242" t="n">
        <v>262.412</v>
      </c>
      <c r="F242" t="n">
        <v>225.695</v>
      </c>
    </row>
    <row r="243">
      <c r="A243" t="inlineStr">
        <is>
          <t>2018-11</t>
        </is>
      </c>
      <c r="B243" t="inlineStr">
        <is>
          <t>junio 2018</t>
        </is>
      </c>
      <c r="C243" t="inlineStr">
        <is>
          <t>1</t>
        </is>
      </c>
      <c r="D243" t="n">
        <v>16</v>
      </c>
      <c r="E243" t="n">
        <v>284.234</v>
      </c>
      <c r="F243" t="n">
        <v>225.795</v>
      </c>
    </row>
    <row r="244">
      <c r="A244" t="inlineStr">
        <is>
          <t>2018-11</t>
        </is>
      </c>
      <c r="B244" t="inlineStr">
        <is>
          <t>junio 2018</t>
        </is>
      </c>
      <c r="C244" t="inlineStr">
        <is>
          <t>1</t>
        </is>
      </c>
      <c r="D244" t="n">
        <v>17</v>
      </c>
      <c r="E244" t="n">
        <v>298.775</v>
      </c>
      <c r="F244" t="n">
        <v>225.723</v>
      </c>
    </row>
    <row r="245">
      <c r="A245" t="inlineStr">
        <is>
          <t>2018-11</t>
        </is>
      </c>
      <c r="B245" t="inlineStr">
        <is>
          <t>junio 2018</t>
        </is>
      </c>
      <c r="C245" t="inlineStr">
        <is>
          <t>1</t>
        </is>
      </c>
      <c r="D245" t="n">
        <v>18</v>
      </c>
      <c r="E245" t="n">
        <v>307.354</v>
      </c>
      <c r="F245" t="n">
        <v>225.836</v>
      </c>
    </row>
    <row r="246">
      <c r="A246" t="inlineStr">
        <is>
          <t>2018-11</t>
        </is>
      </c>
      <c r="B246" t="inlineStr">
        <is>
          <t>junio 2018</t>
        </is>
      </c>
      <c r="C246" t="inlineStr">
        <is>
          <t>1</t>
        </is>
      </c>
      <c r="D246" t="n">
        <v>19</v>
      </c>
      <c r="E246" t="n">
        <v>314.111</v>
      </c>
      <c r="F246" t="n">
        <v>228.274</v>
      </c>
    </row>
    <row r="247">
      <c r="A247" t="inlineStr">
        <is>
          <t>2018-11</t>
        </is>
      </c>
      <c r="B247" t="inlineStr">
        <is>
          <t>junio 2018</t>
        </is>
      </c>
      <c r="C247" t="inlineStr">
        <is>
          <t>1</t>
        </is>
      </c>
      <c r="D247" t="n">
        <v>20</v>
      </c>
      <c r="E247" t="n">
        <v>327.952</v>
      </c>
      <c r="F247" t="n">
        <v>228.912</v>
      </c>
    </row>
    <row r="248">
      <c r="A248" t="inlineStr">
        <is>
          <t>2018-11</t>
        </is>
      </c>
      <c r="B248" t="inlineStr">
        <is>
          <t>junio 2018</t>
        </is>
      </c>
      <c r="C248" t="inlineStr">
        <is>
          <t>1</t>
        </is>
      </c>
      <c r="D248" t="n">
        <v>21</v>
      </c>
      <c r="E248" t="n">
        <v>330.656</v>
      </c>
      <c r="F248" t="n">
        <v>229.787</v>
      </c>
    </row>
    <row r="249">
      <c r="A249" t="inlineStr">
        <is>
          <t>2018-11</t>
        </is>
      </c>
      <c r="B249" t="inlineStr">
        <is>
          <t>junio 2018</t>
        </is>
      </c>
      <c r="C249" t="inlineStr">
        <is>
          <t>1</t>
        </is>
      </c>
      <c r="D249" t="n">
        <v>22</v>
      </c>
      <c r="E249" t="n">
        <v>337.67</v>
      </c>
      <c r="F249" t="n">
        <v>229.73</v>
      </c>
    </row>
    <row r="250">
      <c r="A250" t="inlineStr">
        <is>
          <t>2018-11</t>
        </is>
      </c>
      <c r="B250" t="inlineStr">
        <is>
          <t>junio 2018</t>
        </is>
      </c>
      <c r="C250" t="inlineStr">
        <is>
          <t>1</t>
        </is>
      </c>
      <c r="D250" t="n">
        <v>23</v>
      </c>
      <c r="E250" t="n">
        <v>355.209</v>
      </c>
      <c r="F250" t="n">
        <v>229.735</v>
      </c>
    </row>
    <row r="251">
      <c r="A251" t="inlineStr">
        <is>
          <t>2018-11</t>
        </is>
      </c>
      <c r="B251" t="inlineStr">
        <is>
          <t>junio 2018</t>
        </is>
      </c>
      <c r="C251" t="inlineStr">
        <is>
          <t>1</t>
        </is>
      </c>
      <c r="D251" t="n">
        <v>24</v>
      </c>
      <c r="E251" t="n">
        <v>378.405</v>
      </c>
      <c r="F251" t="n">
        <v>230.435</v>
      </c>
    </row>
    <row r="252">
      <c r="A252" t="inlineStr">
        <is>
          <t>2018-11</t>
        </is>
      </c>
      <c r="B252" t="inlineStr">
        <is>
          <t>junio 2018</t>
        </is>
      </c>
      <c r="C252" t="inlineStr">
        <is>
          <t>1</t>
        </is>
      </c>
      <c r="D252" t="n">
        <v>25</v>
      </c>
      <c r="E252" t="n">
        <v>397.489</v>
      </c>
      <c r="F252" t="n">
        <v>230.73</v>
      </c>
    </row>
    <row r="253">
      <c r="A253" t="inlineStr">
        <is>
          <t>2018-11</t>
        </is>
      </c>
      <c r="B253" t="inlineStr">
        <is>
          <t>junio 2018</t>
        </is>
      </c>
      <c r="C253" t="inlineStr">
        <is>
          <t>1</t>
        </is>
      </c>
      <c r="D253" t="n">
        <v>26</v>
      </c>
      <c r="E253" t="n">
        <v>398.721</v>
      </c>
      <c r="F253" t="n">
        <v>230.724</v>
      </c>
    </row>
    <row r="254">
      <c r="A254" t="inlineStr">
        <is>
          <t>2018-11</t>
        </is>
      </c>
      <c r="B254" t="inlineStr">
        <is>
          <t>junio 2018</t>
        </is>
      </c>
      <c r="C254" t="inlineStr">
        <is>
          <t>1</t>
        </is>
      </c>
      <c r="D254" t="n">
        <v>27</v>
      </c>
      <c r="E254" t="n">
        <v>408.809</v>
      </c>
      <c r="F254" t="n">
        <v>230.99</v>
      </c>
    </row>
    <row r="255">
      <c r="A255" t="inlineStr">
        <is>
          <t>2018-11</t>
        </is>
      </c>
      <c r="B255" t="inlineStr">
        <is>
          <t>junio 2018</t>
        </is>
      </c>
      <c r="C255" t="inlineStr">
        <is>
          <t>1</t>
        </is>
      </c>
      <c r="D255" t="n">
        <v>28</v>
      </c>
      <c r="E255" t="n">
        <v>494.972</v>
      </c>
      <c r="F255" t="n">
        <v>233.249</v>
      </c>
    </row>
    <row r="256">
      <c r="A256" t="inlineStr">
        <is>
          <t>2018-11</t>
        </is>
      </c>
      <c r="B256" t="inlineStr">
        <is>
          <t>junio 2018</t>
        </is>
      </c>
      <c r="C256" t="inlineStr">
        <is>
          <t>1</t>
        </is>
      </c>
      <c r="D256" t="n">
        <v>29</v>
      </c>
      <c r="E256" t="n">
        <v>513.813</v>
      </c>
      <c r="F256" t="n">
        <v>236.715</v>
      </c>
    </row>
    <row r="257">
      <c r="A257" t="inlineStr">
        <is>
          <t>2018-11</t>
        </is>
      </c>
      <c r="B257" t="inlineStr">
        <is>
          <t>junio 2018</t>
        </is>
      </c>
      <c r="C257" t="inlineStr">
        <is>
          <t>1</t>
        </is>
      </c>
      <c r="D257" t="n">
        <v>30</v>
      </c>
      <c r="E257" t="n">
        <v>531.922</v>
      </c>
      <c r="F257" t="n">
        <v>239.46</v>
      </c>
    </row>
    <row r="258">
      <c r="A258" t="inlineStr">
        <is>
          <t>2018-11</t>
        </is>
      </c>
      <c r="B258" t="inlineStr">
        <is>
          <t>junio 2018</t>
        </is>
      </c>
      <c r="C258" t="inlineStr">
        <is>
          <t>1</t>
        </is>
      </c>
      <c r="D258" t="n">
        <v>31</v>
      </c>
      <c r="E258" t="n">
        <v>552.678</v>
      </c>
      <c r="F258" t="n">
        <v>238.143</v>
      </c>
    </row>
    <row r="259">
      <c r="A259" t="inlineStr">
        <is>
          <t>2018-11</t>
        </is>
      </c>
      <c r="B259" t="inlineStr">
        <is>
          <t>junio 2018</t>
        </is>
      </c>
      <c r="C259" t="inlineStr">
        <is>
          <t>1</t>
        </is>
      </c>
      <c r="D259" t="n">
        <v>32</v>
      </c>
      <c r="E259" t="n">
        <v>625.9400000000001</v>
      </c>
      <c r="F259" t="n">
        <v>236.538</v>
      </c>
    </row>
    <row r="260">
      <c r="A260" t="inlineStr">
        <is>
          <t>2018-11</t>
        </is>
      </c>
      <c r="B260" t="inlineStr">
        <is>
          <t>junio 2018</t>
        </is>
      </c>
      <c r="C260" t="inlineStr">
        <is>
          <t>2</t>
        </is>
      </c>
      <c r="D260" t="n">
        <v>1</v>
      </c>
      <c r="E260" t="n">
        <v>0</v>
      </c>
      <c r="F260" t="n">
        <v>242.912</v>
      </c>
    </row>
    <row r="261">
      <c r="A261" t="inlineStr">
        <is>
          <t>2018-11</t>
        </is>
      </c>
      <c r="B261" t="inlineStr">
        <is>
          <t>junio 2018</t>
        </is>
      </c>
      <c r="C261" t="inlineStr">
        <is>
          <t>2</t>
        </is>
      </c>
      <c r="D261" t="n">
        <v>2</v>
      </c>
      <c r="E261" t="n">
        <v>5.761</v>
      </c>
      <c r="F261" t="n">
        <v>242.802</v>
      </c>
    </row>
    <row r="262">
      <c r="A262" t="inlineStr">
        <is>
          <t>2018-11</t>
        </is>
      </c>
      <c r="B262" t="inlineStr">
        <is>
          <t>junio 2018</t>
        </is>
      </c>
      <c r="C262" t="inlineStr">
        <is>
          <t>2</t>
        </is>
      </c>
      <c r="D262" t="n">
        <v>3</v>
      </c>
      <c r="E262" t="n">
        <v>41.048</v>
      </c>
      <c r="F262" t="n">
        <v>243.058</v>
      </c>
    </row>
    <row r="263">
      <c r="A263" t="inlineStr">
        <is>
          <t>2018-11</t>
        </is>
      </c>
      <c r="B263" t="inlineStr">
        <is>
          <t>junio 2018</t>
        </is>
      </c>
      <c r="C263" t="inlineStr">
        <is>
          <t>2</t>
        </is>
      </c>
      <c r="D263" t="n">
        <v>4</v>
      </c>
      <c r="E263" t="n">
        <v>49.825</v>
      </c>
      <c r="F263" t="n">
        <v>243.052</v>
      </c>
    </row>
    <row r="264">
      <c r="A264" t="inlineStr">
        <is>
          <t>2018-11</t>
        </is>
      </c>
      <c r="B264" t="inlineStr">
        <is>
          <t>junio 2018</t>
        </is>
      </c>
      <c r="C264" t="inlineStr">
        <is>
          <t>2</t>
        </is>
      </c>
      <c r="D264" t="n">
        <v>5</v>
      </c>
      <c r="E264" t="n">
        <v>81.751</v>
      </c>
      <c r="F264" t="n">
        <v>243.003</v>
      </c>
    </row>
    <row r="265">
      <c r="A265" t="inlineStr">
        <is>
          <t>2018-11</t>
        </is>
      </c>
      <c r="B265" t="inlineStr">
        <is>
          <t>junio 2018</t>
        </is>
      </c>
      <c r="C265" t="inlineStr">
        <is>
          <t>2</t>
        </is>
      </c>
      <c r="D265" t="n">
        <v>6</v>
      </c>
      <c r="E265" t="n">
        <v>93.726</v>
      </c>
      <c r="F265" t="n">
        <v>242.999</v>
      </c>
    </row>
    <row r="266">
      <c r="A266" t="inlineStr">
        <is>
          <t>2018-11</t>
        </is>
      </c>
      <c r="B266" t="inlineStr">
        <is>
          <t>junio 2018</t>
        </is>
      </c>
      <c r="C266" t="inlineStr">
        <is>
          <t>2</t>
        </is>
      </c>
      <c r="D266" t="n">
        <v>7</v>
      </c>
      <c r="E266" t="n">
        <v>102.683</v>
      </c>
      <c r="F266" t="n">
        <v>243.229</v>
      </c>
    </row>
    <row r="267">
      <c r="A267" t="inlineStr">
        <is>
          <t>2018-11</t>
        </is>
      </c>
      <c r="B267" t="inlineStr">
        <is>
          <t>junio 2018</t>
        </is>
      </c>
      <c r="C267" t="inlineStr">
        <is>
          <t>2</t>
        </is>
      </c>
      <c r="D267" t="n">
        <v>8</v>
      </c>
      <c r="E267" t="n">
        <v>111.618</v>
      </c>
      <c r="F267" t="n">
        <v>243.256</v>
      </c>
    </row>
    <row r="268">
      <c r="A268" t="inlineStr">
        <is>
          <t>2018-11</t>
        </is>
      </c>
      <c r="B268" t="inlineStr">
        <is>
          <t>junio 2018</t>
        </is>
      </c>
      <c r="C268" t="inlineStr">
        <is>
          <t>2</t>
        </is>
      </c>
      <c r="D268" t="n">
        <v>9</v>
      </c>
      <c r="E268" t="n">
        <v>127.593</v>
      </c>
      <c r="F268" t="n">
        <v>243.354</v>
      </c>
    </row>
    <row r="269">
      <c r="A269" t="inlineStr">
        <is>
          <t>2018-11</t>
        </is>
      </c>
      <c r="B269" t="inlineStr">
        <is>
          <t>junio 2018</t>
        </is>
      </c>
      <c r="C269" t="inlineStr">
        <is>
          <t>2</t>
        </is>
      </c>
      <c r="D269" t="n">
        <v>10</v>
      </c>
      <c r="E269" t="n">
        <v>144.763</v>
      </c>
      <c r="F269" t="n">
        <v>243.5</v>
      </c>
    </row>
    <row r="270">
      <c r="A270" t="inlineStr">
        <is>
          <t>2018-11</t>
        </is>
      </c>
      <c r="B270" t="inlineStr">
        <is>
          <t>junio 2018</t>
        </is>
      </c>
      <c r="C270" t="inlineStr">
        <is>
          <t>2</t>
        </is>
      </c>
      <c r="D270" t="n">
        <v>11</v>
      </c>
      <c r="E270" t="n">
        <v>151.981</v>
      </c>
      <c r="F270" t="n">
        <v>243.509</v>
      </c>
    </row>
    <row r="271">
      <c r="A271" t="inlineStr">
        <is>
          <t>2018-11</t>
        </is>
      </c>
      <c r="B271" t="inlineStr">
        <is>
          <t>junio 2018</t>
        </is>
      </c>
      <c r="C271" t="inlineStr">
        <is>
          <t>2</t>
        </is>
      </c>
      <c r="D271" t="n">
        <v>12</v>
      </c>
      <c r="E271" t="n">
        <v>170.522</v>
      </c>
      <c r="F271" t="n">
        <v>243.448</v>
      </c>
    </row>
    <row r="272">
      <c r="A272" t="inlineStr">
        <is>
          <t>2018-11</t>
        </is>
      </c>
      <c r="B272" t="inlineStr">
        <is>
          <t>junio 2018</t>
        </is>
      </c>
      <c r="C272" t="inlineStr">
        <is>
          <t>2</t>
        </is>
      </c>
      <c r="D272" t="n">
        <v>13</v>
      </c>
      <c r="E272" t="n">
        <v>175.647</v>
      </c>
      <c r="F272" t="n">
        <v>239.8</v>
      </c>
    </row>
    <row r="273">
      <c r="A273" t="inlineStr">
        <is>
          <t>2018-11</t>
        </is>
      </c>
      <c r="B273" t="inlineStr">
        <is>
          <t>junio 2018</t>
        </is>
      </c>
      <c r="C273" t="inlineStr">
        <is>
          <t>2</t>
        </is>
      </c>
      <c r="D273" t="n">
        <v>14</v>
      </c>
      <c r="E273" t="n">
        <v>178.131</v>
      </c>
      <c r="F273" t="n">
        <v>236.807</v>
      </c>
    </row>
    <row r="274">
      <c r="A274" t="inlineStr">
        <is>
          <t>2018-11</t>
        </is>
      </c>
      <c r="B274" t="inlineStr">
        <is>
          <t>junio 2018</t>
        </is>
      </c>
      <c r="C274" t="inlineStr">
        <is>
          <t>2</t>
        </is>
      </c>
      <c r="D274" t="n">
        <v>15</v>
      </c>
      <c r="E274" t="n">
        <v>210.65</v>
      </c>
      <c r="F274" t="n">
        <v>236.621</v>
      </c>
    </row>
    <row r="275">
      <c r="A275" t="inlineStr">
        <is>
          <t>2018-11</t>
        </is>
      </c>
      <c r="B275" t="inlineStr">
        <is>
          <t>junio 2018</t>
        </is>
      </c>
      <c r="C275" t="inlineStr">
        <is>
          <t>2</t>
        </is>
      </c>
      <c r="D275" t="n">
        <v>16</v>
      </c>
      <c r="E275" t="n">
        <v>233.941</v>
      </c>
      <c r="F275" t="n">
        <v>236.801</v>
      </c>
    </row>
    <row r="276">
      <c r="A276" t="inlineStr">
        <is>
          <t>2018-11</t>
        </is>
      </c>
      <c r="B276" t="inlineStr">
        <is>
          <t>junio 2018</t>
        </is>
      </c>
      <c r="C276" t="inlineStr">
        <is>
          <t>2</t>
        </is>
      </c>
      <c r="D276" t="n">
        <v>17</v>
      </c>
      <c r="E276" t="n">
        <v>238.493</v>
      </c>
      <c r="F276" t="n">
        <v>236.304</v>
      </c>
    </row>
    <row r="277">
      <c r="A277" t="inlineStr">
        <is>
          <t>2018-11</t>
        </is>
      </c>
      <c r="B277" t="inlineStr">
        <is>
          <t>junio 2018</t>
        </is>
      </c>
      <c r="C277" t="inlineStr">
        <is>
          <t>2</t>
        </is>
      </c>
      <c r="D277" t="n">
        <v>18</v>
      </c>
      <c r="E277" t="n">
        <v>240.689</v>
      </c>
      <c r="F277" t="n">
        <v>235.886</v>
      </c>
    </row>
    <row r="278">
      <c r="A278" t="inlineStr">
        <is>
          <t>2018-11</t>
        </is>
      </c>
      <c r="B278" t="inlineStr">
        <is>
          <t>junio 2018</t>
        </is>
      </c>
      <c r="C278" t="inlineStr">
        <is>
          <t>2</t>
        </is>
      </c>
      <c r="D278" t="n">
        <v>19</v>
      </c>
      <c r="E278" t="n">
        <v>243.419</v>
      </c>
      <c r="F278" t="n">
        <v>235.447</v>
      </c>
    </row>
    <row r="279">
      <c r="A279" t="inlineStr">
        <is>
          <t>2018-11</t>
        </is>
      </c>
      <c r="B279" t="inlineStr">
        <is>
          <t>junio 2018</t>
        </is>
      </c>
      <c r="C279" t="inlineStr">
        <is>
          <t>2</t>
        </is>
      </c>
      <c r="D279" t="n">
        <v>20</v>
      </c>
      <c r="E279" t="n">
        <v>253.595</v>
      </c>
      <c r="F279" t="n">
        <v>232.935</v>
      </c>
    </row>
    <row r="280">
      <c r="A280" t="inlineStr">
        <is>
          <t>2018-11</t>
        </is>
      </c>
      <c r="B280" t="inlineStr">
        <is>
          <t>junio 2018</t>
        </is>
      </c>
      <c r="C280" t="inlineStr">
        <is>
          <t>2</t>
        </is>
      </c>
      <c r="D280" t="n">
        <v>21</v>
      </c>
      <c r="E280" t="n">
        <v>281.278</v>
      </c>
      <c r="F280" t="n">
        <v>231.346</v>
      </c>
    </row>
    <row r="281">
      <c r="A281" t="inlineStr">
        <is>
          <t>2018-11</t>
        </is>
      </c>
      <c r="B281" t="inlineStr">
        <is>
          <t>junio 2018</t>
        </is>
      </c>
      <c r="C281" t="inlineStr">
        <is>
          <t>2</t>
        </is>
      </c>
      <c r="D281" t="n">
        <v>22</v>
      </c>
      <c r="E281" t="n">
        <v>281.278</v>
      </c>
      <c r="F281" t="n">
        <v>231.346</v>
      </c>
    </row>
    <row r="282">
      <c r="A282" t="inlineStr">
        <is>
          <t>2018-11</t>
        </is>
      </c>
      <c r="B282" t="inlineStr">
        <is>
          <t>junio 2018</t>
        </is>
      </c>
      <c r="C282" t="inlineStr">
        <is>
          <t>2</t>
        </is>
      </c>
      <c r="D282" t="n">
        <v>23</v>
      </c>
      <c r="E282" t="n">
        <v>290.972</v>
      </c>
      <c r="F282" t="n">
        <v>231.54</v>
      </c>
    </row>
    <row r="283">
      <c r="A283" t="inlineStr">
        <is>
          <t>2018-11</t>
        </is>
      </c>
      <c r="B283" t="inlineStr">
        <is>
          <t>junio 2018</t>
        </is>
      </c>
      <c r="C283" t="inlineStr">
        <is>
          <t>2</t>
        </is>
      </c>
      <c r="D283" t="n">
        <v>24</v>
      </c>
      <c r="E283" t="n">
        <v>297.766</v>
      </c>
      <c r="F283" t="n">
        <v>232.262</v>
      </c>
    </row>
    <row r="284">
      <c r="A284" t="inlineStr">
        <is>
          <t>2018-11</t>
        </is>
      </c>
      <c r="B284" t="inlineStr">
        <is>
          <t>junio 2018</t>
        </is>
      </c>
      <c r="C284" t="inlineStr">
        <is>
          <t>2</t>
        </is>
      </c>
      <c r="D284" t="n">
        <v>25</v>
      </c>
      <c r="E284" t="n">
        <v>301.867</v>
      </c>
      <c r="F284" t="n">
        <v>238.27</v>
      </c>
    </row>
    <row r="285">
      <c r="A285" t="inlineStr">
        <is>
          <t>2018-11</t>
        </is>
      </c>
      <c r="B285" t="inlineStr">
        <is>
          <t>junio 2018</t>
        </is>
      </c>
      <c r="C285" t="inlineStr">
        <is>
          <t>2</t>
        </is>
      </c>
      <c r="D285" t="n">
        <v>26</v>
      </c>
      <c r="E285" t="n">
        <v>306.496</v>
      </c>
      <c r="F285" t="n">
        <v>243.827</v>
      </c>
    </row>
    <row r="286">
      <c r="A286" t="inlineStr">
        <is>
          <t>2018-11</t>
        </is>
      </c>
      <c r="B286" t="inlineStr">
        <is>
          <t>junio 2018</t>
        </is>
      </c>
      <c r="C286" t="inlineStr">
        <is>
          <t>2</t>
        </is>
      </c>
      <c r="D286" t="n">
        <v>27</v>
      </c>
      <c r="E286" t="n">
        <v>316.251</v>
      </c>
      <c r="F286" t="n">
        <v>243.776</v>
      </c>
    </row>
    <row r="287">
      <c r="A287" t="inlineStr">
        <is>
          <t>2018-11</t>
        </is>
      </c>
      <c r="B287" t="inlineStr">
        <is>
          <t>junio 2018</t>
        </is>
      </c>
      <c r="C287" t="inlineStr">
        <is>
          <t>2</t>
        </is>
      </c>
      <c r="D287" t="n">
        <v>28</v>
      </c>
      <c r="E287" t="n">
        <v>321.884</v>
      </c>
      <c r="F287" t="n">
        <v>243.663</v>
      </c>
    </row>
    <row r="288">
      <c r="A288" t="inlineStr">
        <is>
          <t>2018-11</t>
        </is>
      </c>
      <c r="B288" t="inlineStr">
        <is>
          <t>junio 2018</t>
        </is>
      </c>
      <c r="C288" t="inlineStr">
        <is>
          <t>2</t>
        </is>
      </c>
      <c r="D288" t="n">
        <v>29</v>
      </c>
      <c r="E288" t="n">
        <v>364.198</v>
      </c>
      <c r="F288" t="n">
        <v>243.3</v>
      </c>
    </row>
    <row r="289">
      <c r="A289" t="inlineStr">
        <is>
          <t>2018-11</t>
        </is>
      </c>
      <c r="B289" t="inlineStr">
        <is>
          <t>junio 2018</t>
        </is>
      </c>
      <c r="C289" t="inlineStr">
        <is>
          <t>2</t>
        </is>
      </c>
      <c r="D289" t="n">
        <v>30</v>
      </c>
      <c r="E289" t="n">
        <v>377.82</v>
      </c>
      <c r="F289" t="n">
        <v>243.148</v>
      </c>
    </row>
    <row r="290">
      <c r="A290" t="inlineStr">
        <is>
          <t>2018-11</t>
        </is>
      </c>
      <c r="B290" t="inlineStr">
        <is>
          <t>junio 2018</t>
        </is>
      </c>
      <c r="C290" t="inlineStr">
        <is>
          <t>2</t>
        </is>
      </c>
      <c r="D290" t="n">
        <v>31</v>
      </c>
      <c r="E290" t="n">
        <v>382.947</v>
      </c>
      <c r="F290" t="n">
        <v>243.187</v>
      </c>
    </row>
    <row r="291">
      <c r="A291" t="inlineStr">
        <is>
          <t>2018-11</t>
        </is>
      </c>
      <c r="B291" t="inlineStr">
        <is>
          <t>junio 2018</t>
        </is>
      </c>
      <c r="C291" t="inlineStr">
        <is>
          <t>3</t>
        </is>
      </c>
      <c r="D291" t="n">
        <v>1</v>
      </c>
      <c r="E291" t="n">
        <v>0</v>
      </c>
      <c r="F291" t="n">
        <v>243.829</v>
      </c>
    </row>
    <row r="292">
      <c r="A292" t="inlineStr">
        <is>
          <t>2018-11</t>
        </is>
      </c>
      <c r="B292" t="inlineStr">
        <is>
          <t>junio 2018</t>
        </is>
      </c>
      <c r="C292" t="inlineStr">
        <is>
          <t>3</t>
        </is>
      </c>
      <c r="D292" t="n">
        <v>2</v>
      </c>
      <c r="E292" t="n">
        <v>37.381</v>
      </c>
      <c r="F292" t="n">
        <v>243.943</v>
      </c>
    </row>
    <row r="293">
      <c r="A293" t="inlineStr">
        <is>
          <t>2018-11</t>
        </is>
      </c>
      <c r="B293" t="inlineStr">
        <is>
          <t>junio 2018</t>
        </is>
      </c>
      <c r="C293" t="inlineStr">
        <is>
          <t>3</t>
        </is>
      </c>
      <c r="D293" t="n">
        <v>3</v>
      </c>
      <c r="E293" t="n">
        <v>44.866</v>
      </c>
      <c r="F293" t="n">
        <v>243.929</v>
      </c>
    </row>
    <row r="294">
      <c r="A294" t="inlineStr">
        <is>
          <t>2018-11</t>
        </is>
      </c>
      <c r="B294" t="inlineStr">
        <is>
          <t>junio 2018</t>
        </is>
      </c>
      <c r="C294" t="inlineStr">
        <is>
          <t>3</t>
        </is>
      </c>
      <c r="D294" t="n">
        <v>4</v>
      </c>
      <c r="E294" t="n">
        <v>58.08</v>
      </c>
      <c r="F294" t="n">
        <v>244.039</v>
      </c>
    </row>
    <row r="295">
      <c r="A295" t="inlineStr">
        <is>
          <t>2018-11</t>
        </is>
      </c>
      <c r="B295" t="inlineStr">
        <is>
          <t>junio 2018</t>
        </is>
      </c>
      <c r="C295" t="inlineStr">
        <is>
          <t>3</t>
        </is>
      </c>
      <c r="D295" t="n">
        <v>5</v>
      </c>
      <c r="E295" t="n">
        <v>62.136</v>
      </c>
      <c r="F295" t="n">
        <v>244.066</v>
      </c>
    </row>
    <row r="296">
      <c r="A296" t="inlineStr">
        <is>
          <t>2018-11</t>
        </is>
      </c>
      <c r="B296" t="inlineStr">
        <is>
          <t>junio 2018</t>
        </is>
      </c>
      <c r="C296" t="inlineStr">
        <is>
          <t>3</t>
        </is>
      </c>
      <c r="D296" t="n">
        <v>6</v>
      </c>
      <c r="E296" t="n">
        <v>68.384</v>
      </c>
      <c r="F296" t="n">
        <v>244.172</v>
      </c>
    </row>
    <row r="297">
      <c r="A297" t="inlineStr">
        <is>
          <t>2018-11</t>
        </is>
      </c>
      <c r="B297" t="inlineStr">
        <is>
          <t>junio 2018</t>
        </is>
      </c>
      <c r="C297" t="inlineStr">
        <is>
          <t>3</t>
        </is>
      </c>
      <c r="D297" t="n">
        <v>7</v>
      </c>
      <c r="E297" t="n">
        <v>80.508</v>
      </c>
      <c r="F297" t="n">
        <v>237.455</v>
      </c>
    </row>
    <row r="298">
      <c r="A298" t="inlineStr">
        <is>
          <t>2018-11</t>
        </is>
      </c>
      <c r="B298" t="inlineStr">
        <is>
          <t>junio 2018</t>
        </is>
      </c>
      <c r="C298" t="inlineStr">
        <is>
          <t>3</t>
        </is>
      </c>
      <c r="D298" t="n">
        <v>8</v>
      </c>
      <c r="E298" t="n">
        <v>80.71299999999999</v>
      </c>
      <c r="F298" t="n">
        <v>237.364</v>
      </c>
    </row>
    <row r="299">
      <c r="A299" t="inlineStr">
        <is>
          <t>2018-11</t>
        </is>
      </c>
      <c r="B299" t="inlineStr">
        <is>
          <t>junio 2018</t>
        </is>
      </c>
      <c r="C299" t="inlineStr">
        <is>
          <t>3</t>
        </is>
      </c>
      <c r="D299" t="n">
        <v>9</v>
      </c>
      <c r="E299" t="n">
        <v>80.795</v>
      </c>
      <c r="F299" t="n">
        <v>237.362</v>
      </c>
    </row>
    <row r="300">
      <c r="A300" t="inlineStr">
        <is>
          <t>2018-11</t>
        </is>
      </c>
      <c r="B300" t="inlineStr">
        <is>
          <t>junio 2018</t>
        </is>
      </c>
      <c r="C300" t="inlineStr">
        <is>
          <t>3</t>
        </is>
      </c>
      <c r="D300" t="n">
        <v>10</v>
      </c>
      <c r="E300" t="n">
        <v>93.669</v>
      </c>
      <c r="F300" t="n">
        <v>235.386</v>
      </c>
    </row>
    <row r="301">
      <c r="A301" t="inlineStr">
        <is>
          <t>2018-11</t>
        </is>
      </c>
      <c r="B301" t="inlineStr">
        <is>
          <t>junio 2018</t>
        </is>
      </c>
      <c r="C301" t="inlineStr">
        <is>
          <t>3</t>
        </is>
      </c>
      <c r="D301" t="n">
        <v>11</v>
      </c>
      <c r="E301" t="n">
        <v>101.793</v>
      </c>
      <c r="F301" t="n">
        <v>235.347</v>
      </c>
    </row>
    <row r="302">
      <c r="A302" t="inlineStr">
        <is>
          <t>2018-11</t>
        </is>
      </c>
      <c r="B302" t="inlineStr">
        <is>
          <t>junio 2018</t>
        </is>
      </c>
      <c r="C302" t="inlineStr">
        <is>
          <t>3</t>
        </is>
      </c>
      <c r="D302" t="n">
        <v>12</v>
      </c>
      <c r="E302" t="n">
        <v>103.237</v>
      </c>
      <c r="F302" t="n">
        <v>235.345</v>
      </c>
    </row>
    <row r="303">
      <c r="A303" t="inlineStr">
        <is>
          <t>2018-11</t>
        </is>
      </c>
      <c r="B303" t="inlineStr">
        <is>
          <t>junio 2018</t>
        </is>
      </c>
      <c r="C303" t="inlineStr">
        <is>
          <t>3</t>
        </is>
      </c>
      <c r="D303" t="n">
        <v>13</v>
      </c>
      <c r="E303" t="n">
        <v>103.633</v>
      </c>
      <c r="F303" t="n">
        <v>235.346</v>
      </c>
    </row>
    <row r="304">
      <c r="A304" t="inlineStr">
        <is>
          <t>2018-11</t>
        </is>
      </c>
      <c r="B304" t="inlineStr">
        <is>
          <t>junio 2018</t>
        </is>
      </c>
      <c r="C304" t="inlineStr">
        <is>
          <t>3</t>
        </is>
      </c>
      <c r="D304" t="n">
        <v>14</v>
      </c>
      <c r="E304" t="n">
        <v>105.33</v>
      </c>
      <c r="F304" t="n">
        <v>235.389</v>
      </c>
    </row>
    <row r="305">
      <c r="A305" t="inlineStr">
        <is>
          <t>2018-11</t>
        </is>
      </c>
      <c r="B305" t="inlineStr">
        <is>
          <t>junio 2018</t>
        </is>
      </c>
      <c r="C305" t="inlineStr">
        <is>
          <t>3</t>
        </is>
      </c>
      <c r="D305" t="n">
        <v>15</v>
      </c>
      <c r="E305" t="n">
        <v>107.163</v>
      </c>
      <c r="F305" t="n">
        <v>235.591</v>
      </c>
    </row>
    <row r="306">
      <c r="A306" t="inlineStr">
        <is>
          <t>2018-11</t>
        </is>
      </c>
      <c r="B306" t="inlineStr">
        <is>
          <t>junio 2018</t>
        </is>
      </c>
      <c r="C306" t="inlineStr">
        <is>
          <t>3</t>
        </is>
      </c>
      <c r="D306" t="n">
        <v>16</v>
      </c>
      <c r="E306" t="n">
        <v>168.041</v>
      </c>
      <c r="F306" t="n">
        <v>239.015</v>
      </c>
    </row>
    <row r="307">
      <c r="A307" t="inlineStr">
        <is>
          <t>2018-11</t>
        </is>
      </c>
      <c r="B307" t="inlineStr">
        <is>
          <t>junio 2018</t>
        </is>
      </c>
      <c r="C307" t="inlineStr">
        <is>
          <t>3</t>
        </is>
      </c>
      <c r="D307" t="n">
        <v>17</v>
      </c>
      <c r="E307" t="n">
        <v>177.218</v>
      </c>
      <c r="F307" t="n">
        <v>238.656</v>
      </c>
    </row>
    <row r="308">
      <c r="A308" t="inlineStr">
        <is>
          <t>2018-11</t>
        </is>
      </c>
      <c r="B308" t="inlineStr">
        <is>
          <t>junio 2018</t>
        </is>
      </c>
      <c r="C308" t="inlineStr">
        <is>
          <t>3</t>
        </is>
      </c>
      <c r="D308" t="n">
        <v>18</v>
      </c>
      <c r="E308" t="n">
        <v>179.96</v>
      </c>
      <c r="F308" t="n">
        <v>238.52</v>
      </c>
    </row>
    <row r="309">
      <c r="A309" t="inlineStr">
        <is>
          <t>2018-11</t>
        </is>
      </c>
      <c r="B309" t="inlineStr">
        <is>
          <t>junio 2018</t>
        </is>
      </c>
      <c r="C309" t="inlineStr">
        <is>
          <t>3</t>
        </is>
      </c>
      <c r="D309" t="n">
        <v>19</v>
      </c>
      <c r="E309" t="n">
        <v>197.164</v>
      </c>
      <c r="F309" t="n">
        <v>237.746</v>
      </c>
    </row>
    <row r="310">
      <c r="A310" t="inlineStr">
        <is>
          <t>2018-11</t>
        </is>
      </c>
      <c r="B310" t="inlineStr">
        <is>
          <t>junio 2018</t>
        </is>
      </c>
      <c r="C310" t="inlineStr">
        <is>
          <t>3</t>
        </is>
      </c>
      <c r="D310" t="n">
        <v>20</v>
      </c>
      <c r="E310" t="n">
        <v>226.108</v>
      </c>
      <c r="F310" t="n">
        <v>236.456</v>
      </c>
    </row>
    <row r="311">
      <c r="A311" t="inlineStr">
        <is>
          <t>2018-11</t>
        </is>
      </c>
      <c r="B311" t="inlineStr">
        <is>
          <t>junio 2018</t>
        </is>
      </c>
      <c r="C311" t="inlineStr">
        <is>
          <t>3</t>
        </is>
      </c>
      <c r="D311" t="n">
        <v>21</v>
      </c>
      <c r="E311" t="n">
        <v>229.219</v>
      </c>
      <c r="F311" t="n">
        <v>236.18</v>
      </c>
    </row>
    <row r="312">
      <c r="A312" t="inlineStr">
        <is>
          <t>2018-11</t>
        </is>
      </c>
      <c r="B312" t="inlineStr">
        <is>
          <t>junio 2018</t>
        </is>
      </c>
      <c r="C312" t="inlineStr">
        <is>
          <t>3</t>
        </is>
      </c>
      <c r="D312" t="n">
        <v>22</v>
      </c>
      <c r="E312" t="n">
        <v>246.138</v>
      </c>
      <c r="F312" t="n">
        <v>239.124</v>
      </c>
    </row>
    <row r="313">
      <c r="A313" t="inlineStr">
        <is>
          <t>2018-11</t>
        </is>
      </c>
      <c r="B313" t="inlineStr">
        <is>
          <t>junio 2018</t>
        </is>
      </c>
      <c r="C313" t="inlineStr">
        <is>
          <t>3</t>
        </is>
      </c>
      <c r="D313" t="n">
        <v>23</v>
      </c>
      <c r="E313" t="n">
        <v>247.325</v>
      </c>
      <c r="F313" t="n">
        <v>239.125</v>
      </c>
    </row>
    <row r="314">
      <c r="A314" t="inlineStr">
        <is>
          <t>2018-11</t>
        </is>
      </c>
      <c r="B314" t="inlineStr">
        <is>
          <t>junio 2018</t>
        </is>
      </c>
      <c r="C314" t="inlineStr">
        <is>
          <t>3</t>
        </is>
      </c>
      <c r="D314" t="n">
        <v>24</v>
      </c>
      <c r="E314" t="n">
        <v>259.042</v>
      </c>
      <c r="F314" t="n">
        <v>238.774</v>
      </c>
    </row>
    <row r="315">
      <c r="A315" t="inlineStr">
        <is>
          <t>2018-11</t>
        </is>
      </c>
      <c r="B315" t="inlineStr">
        <is>
          <t>junio 2018</t>
        </is>
      </c>
      <c r="C315" t="inlineStr">
        <is>
          <t>3</t>
        </is>
      </c>
      <c r="D315" t="n">
        <v>25</v>
      </c>
      <c r="E315" t="n">
        <v>267.304</v>
      </c>
      <c r="F315" t="n">
        <v>238.877</v>
      </c>
    </row>
    <row r="316">
      <c r="A316" t="inlineStr">
        <is>
          <t>2018-11</t>
        </is>
      </c>
      <c r="B316" t="inlineStr">
        <is>
          <t>junio 2018</t>
        </is>
      </c>
      <c r="C316" t="inlineStr">
        <is>
          <t>3</t>
        </is>
      </c>
      <c r="D316" t="n">
        <v>26</v>
      </c>
      <c r="E316" t="n">
        <v>321.107</v>
      </c>
      <c r="F316" t="n">
        <v>235.472</v>
      </c>
    </row>
    <row r="317">
      <c r="A317" t="inlineStr">
        <is>
          <t>2018-11</t>
        </is>
      </c>
      <c r="B317" t="inlineStr">
        <is>
          <t>junio 2018</t>
        </is>
      </c>
      <c r="C317" t="inlineStr">
        <is>
          <t>3</t>
        </is>
      </c>
      <c r="D317" t="n">
        <v>27</v>
      </c>
      <c r="E317" t="n">
        <v>355.879</v>
      </c>
      <c r="F317" t="n">
        <v>235.19</v>
      </c>
    </row>
    <row r="318">
      <c r="A318" t="inlineStr">
        <is>
          <t>2018-11</t>
        </is>
      </c>
      <c r="B318" t="inlineStr">
        <is>
          <t>junio 2018</t>
        </is>
      </c>
      <c r="C318" t="inlineStr">
        <is>
          <t>3</t>
        </is>
      </c>
      <c r="D318" t="n">
        <v>28</v>
      </c>
      <c r="E318" t="n">
        <v>366.264</v>
      </c>
      <c r="F318" t="n">
        <v>235.33</v>
      </c>
    </row>
    <row r="319">
      <c r="A319" t="inlineStr">
        <is>
          <t>2018-11</t>
        </is>
      </c>
      <c r="B319" t="inlineStr">
        <is>
          <t>junio 2018</t>
        </is>
      </c>
      <c r="C319" t="inlineStr">
        <is>
          <t>3</t>
        </is>
      </c>
      <c r="D319" t="n">
        <v>29</v>
      </c>
      <c r="E319" t="n">
        <v>372.724</v>
      </c>
      <c r="F319" t="n">
        <v>235.882</v>
      </c>
    </row>
    <row r="320">
      <c r="A320" t="inlineStr">
        <is>
          <t>2018-11</t>
        </is>
      </c>
      <c r="B320" t="inlineStr">
        <is>
          <t>junio 2018</t>
        </is>
      </c>
      <c r="C320" t="inlineStr">
        <is>
          <t>3</t>
        </is>
      </c>
      <c r="D320" t="n">
        <v>30</v>
      </c>
      <c r="E320" t="n">
        <v>381.567</v>
      </c>
      <c r="F320" t="n">
        <v>235.063</v>
      </c>
    </row>
    <row r="321">
      <c r="A321" t="inlineStr">
        <is>
          <t>2018-11</t>
        </is>
      </c>
      <c r="B321" t="inlineStr">
        <is>
          <t>junio 2018</t>
        </is>
      </c>
      <c r="C321" t="inlineStr">
        <is>
          <t>3</t>
        </is>
      </c>
      <c r="D321" t="n">
        <v>31</v>
      </c>
      <c r="E321" t="n">
        <v>392.522</v>
      </c>
      <c r="F321" t="n">
        <v>239.437</v>
      </c>
    </row>
    <row r="322">
      <c r="A322" t="inlineStr">
        <is>
          <t>2018-11</t>
        </is>
      </c>
      <c r="B322" t="inlineStr">
        <is>
          <t>junio 2018</t>
        </is>
      </c>
      <c r="C322" t="inlineStr">
        <is>
          <t>3</t>
        </is>
      </c>
      <c r="D322" t="n">
        <v>32</v>
      </c>
      <c r="E322" t="n">
        <v>394.438</v>
      </c>
      <c r="F322" t="n">
        <v>239.926</v>
      </c>
    </row>
    <row r="323">
      <c r="A323" t="inlineStr">
        <is>
          <t>2018-11</t>
        </is>
      </c>
      <c r="B323" t="inlineStr">
        <is>
          <t>junio 2018</t>
        </is>
      </c>
      <c r="C323" t="inlineStr">
        <is>
          <t>3</t>
        </is>
      </c>
      <c r="D323" t="n">
        <v>33</v>
      </c>
      <c r="E323" t="n">
        <v>399.8</v>
      </c>
      <c r="F323" t="n">
        <v>244.843</v>
      </c>
    </row>
    <row r="324">
      <c r="A324" t="inlineStr">
        <is>
          <t>2018-11</t>
        </is>
      </c>
      <c r="B324" t="inlineStr">
        <is>
          <t>junio 2018</t>
        </is>
      </c>
      <c r="C324" t="inlineStr">
        <is>
          <t>3</t>
        </is>
      </c>
      <c r="D324" t="n">
        <v>34</v>
      </c>
      <c r="E324" t="n">
        <v>399.836</v>
      </c>
      <c r="F324" t="n">
        <v>244.867</v>
      </c>
    </row>
    <row r="325">
      <c r="A325" t="inlineStr">
        <is>
          <t>2018-11</t>
        </is>
      </c>
      <c r="B325" t="inlineStr">
        <is>
          <t>junio 2018</t>
        </is>
      </c>
      <c r="C325" t="inlineStr">
        <is>
          <t>3</t>
        </is>
      </c>
      <c r="D325" t="n">
        <v>35</v>
      </c>
      <c r="E325" t="n">
        <v>399.842</v>
      </c>
      <c r="F325" t="n">
        <v>244.868</v>
      </c>
    </row>
    <row r="326">
      <c r="A326" t="inlineStr">
        <is>
          <t>2018-11</t>
        </is>
      </c>
      <c r="B326" t="inlineStr">
        <is>
          <t>junio 2018</t>
        </is>
      </c>
      <c r="C326" t="inlineStr">
        <is>
          <t>3</t>
        </is>
      </c>
      <c r="D326" t="n">
        <v>36</v>
      </c>
      <c r="E326" t="n">
        <v>400.876</v>
      </c>
      <c r="F326" t="n">
        <v>243.774</v>
      </c>
    </row>
    <row r="327">
      <c r="A327" t="inlineStr">
        <is>
          <t>2018-11</t>
        </is>
      </c>
      <c r="B327" t="inlineStr">
        <is>
          <t>junio 2018</t>
        </is>
      </c>
      <c r="C327" t="inlineStr">
        <is>
          <t>3</t>
        </is>
      </c>
      <c r="D327" t="n">
        <v>37</v>
      </c>
      <c r="E327" t="n">
        <v>406.75</v>
      </c>
      <c r="F327" t="n">
        <v>243.155</v>
      </c>
    </row>
    <row r="328">
      <c r="A328" t="inlineStr">
        <is>
          <t>2018-11</t>
        </is>
      </c>
      <c r="B328" t="inlineStr">
        <is>
          <t>junio 2018</t>
        </is>
      </c>
      <c r="C328" t="inlineStr">
        <is>
          <t>3</t>
        </is>
      </c>
      <c r="D328" t="n">
        <v>38</v>
      </c>
      <c r="E328" t="n">
        <v>417.206</v>
      </c>
      <c r="F328" t="n">
        <v>245.127</v>
      </c>
    </row>
    <row r="329">
      <c r="A329" t="inlineStr">
        <is>
          <t>2018-11</t>
        </is>
      </c>
      <c r="B329" t="inlineStr">
        <is>
          <t>junio 2018</t>
        </is>
      </c>
      <c r="C329" t="inlineStr">
        <is>
          <t>3</t>
        </is>
      </c>
      <c r="D329" t="n">
        <v>39</v>
      </c>
      <c r="E329" t="n">
        <v>436.343</v>
      </c>
      <c r="F329" t="n">
        <v>245.239</v>
      </c>
    </row>
    <row r="330">
      <c r="A330" t="inlineStr">
        <is>
          <t>2018-11</t>
        </is>
      </c>
      <c r="B330" t="inlineStr">
        <is>
          <t>junio 2018</t>
        </is>
      </c>
      <c r="C330" t="inlineStr">
        <is>
          <t>4</t>
        </is>
      </c>
      <c r="D330" t="n">
        <v>1</v>
      </c>
      <c r="E330" t="n">
        <v>0</v>
      </c>
      <c r="F330" t="n">
        <v>246.529</v>
      </c>
    </row>
    <row r="331">
      <c r="A331" t="inlineStr">
        <is>
          <t>2018-11</t>
        </is>
      </c>
      <c r="B331" t="inlineStr">
        <is>
          <t>junio 2018</t>
        </is>
      </c>
      <c r="C331" t="inlineStr">
        <is>
          <t>4</t>
        </is>
      </c>
      <c r="D331" t="n">
        <v>2</v>
      </c>
      <c r="E331" t="n">
        <v>15.423</v>
      </c>
      <c r="F331" t="n">
        <v>246.476</v>
      </c>
    </row>
    <row r="332">
      <c r="A332" t="inlineStr">
        <is>
          <t>2018-11</t>
        </is>
      </c>
      <c r="B332" t="inlineStr">
        <is>
          <t>junio 2018</t>
        </is>
      </c>
      <c r="C332" t="inlineStr">
        <is>
          <t>4</t>
        </is>
      </c>
      <c r="D332" t="n">
        <v>3</v>
      </c>
      <c r="E332" t="n">
        <v>16.735</v>
      </c>
      <c r="F332" t="n">
        <v>246.471</v>
      </c>
    </row>
    <row r="333">
      <c r="A333" t="inlineStr">
        <is>
          <t>2018-11</t>
        </is>
      </c>
      <c r="B333" t="inlineStr">
        <is>
          <t>junio 2018</t>
        </is>
      </c>
      <c r="C333" t="inlineStr">
        <is>
          <t>4</t>
        </is>
      </c>
      <c r="D333" t="n">
        <v>4</v>
      </c>
      <c r="E333" t="n">
        <v>31.231</v>
      </c>
      <c r="F333" t="n">
        <v>246.356</v>
      </c>
    </row>
    <row r="334">
      <c r="A334" t="inlineStr">
        <is>
          <t>2018-11</t>
        </is>
      </c>
      <c r="B334" t="inlineStr">
        <is>
          <t>junio 2018</t>
        </is>
      </c>
      <c r="C334" t="inlineStr">
        <is>
          <t>4</t>
        </is>
      </c>
      <c r="D334" t="n">
        <v>5</v>
      </c>
      <c r="E334" t="n">
        <v>48.293</v>
      </c>
      <c r="F334" t="n">
        <v>246.242</v>
      </c>
    </row>
    <row r="335">
      <c r="A335" t="inlineStr">
        <is>
          <t>2018-11</t>
        </is>
      </c>
      <c r="B335" t="inlineStr">
        <is>
          <t>junio 2018</t>
        </is>
      </c>
      <c r="C335" t="inlineStr">
        <is>
          <t>4</t>
        </is>
      </c>
      <c r="D335" t="n">
        <v>6</v>
      </c>
      <c r="E335" t="n">
        <v>53.266</v>
      </c>
      <c r="F335" t="n">
        <v>243.723</v>
      </c>
    </row>
    <row r="336">
      <c r="A336" t="inlineStr">
        <is>
          <t>2018-11</t>
        </is>
      </c>
      <c r="B336" t="inlineStr">
        <is>
          <t>junio 2018</t>
        </is>
      </c>
      <c r="C336" t="inlineStr">
        <is>
          <t>4</t>
        </is>
      </c>
      <c r="D336" t="n">
        <v>7</v>
      </c>
      <c r="E336" t="n">
        <v>58.807</v>
      </c>
      <c r="F336" t="n">
        <v>239.81</v>
      </c>
    </row>
    <row r="337">
      <c r="A337" t="inlineStr">
        <is>
          <t>2018-11</t>
        </is>
      </c>
      <c r="B337" t="inlineStr">
        <is>
          <t>junio 2018</t>
        </is>
      </c>
      <c r="C337" t="inlineStr">
        <is>
          <t>4</t>
        </is>
      </c>
      <c r="D337" t="n">
        <v>8</v>
      </c>
      <c r="E337" t="n">
        <v>72.89700000000001</v>
      </c>
      <c r="F337" t="n">
        <v>239.93</v>
      </c>
    </row>
    <row r="338">
      <c r="A338" t="inlineStr">
        <is>
          <t>2018-11</t>
        </is>
      </c>
      <c r="B338" t="inlineStr">
        <is>
          <t>junio 2018</t>
        </is>
      </c>
      <c r="C338" t="inlineStr">
        <is>
          <t>4</t>
        </is>
      </c>
      <c r="D338" t="n">
        <v>9</v>
      </c>
      <c r="E338" t="n">
        <v>76.11799999999999</v>
      </c>
      <c r="F338" t="n">
        <v>239.9</v>
      </c>
    </row>
    <row r="339">
      <c r="A339" t="inlineStr">
        <is>
          <t>2018-11</t>
        </is>
      </c>
      <c r="B339" t="inlineStr">
        <is>
          <t>junio 2018</t>
        </is>
      </c>
      <c r="C339" t="inlineStr">
        <is>
          <t>4</t>
        </is>
      </c>
      <c r="D339" t="n">
        <v>10</v>
      </c>
      <c r="E339" t="n">
        <v>77.251</v>
      </c>
      <c r="F339" t="n">
        <v>239.886</v>
      </c>
    </row>
    <row r="340">
      <c r="A340" t="inlineStr">
        <is>
          <t>2018-11</t>
        </is>
      </c>
      <c r="B340" t="inlineStr">
        <is>
          <t>junio 2018</t>
        </is>
      </c>
      <c r="C340" t="inlineStr">
        <is>
          <t>4</t>
        </is>
      </c>
      <c r="D340" t="n">
        <v>11</v>
      </c>
      <c r="E340" t="n">
        <v>77.854</v>
      </c>
      <c r="F340" t="n">
        <v>240.409</v>
      </c>
    </row>
    <row r="341">
      <c r="A341" t="inlineStr">
        <is>
          <t>2018-11</t>
        </is>
      </c>
      <c r="B341" t="inlineStr">
        <is>
          <t>junio 2018</t>
        </is>
      </c>
      <c r="C341" t="inlineStr">
        <is>
          <t>4</t>
        </is>
      </c>
      <c r="D341" t="n">
        <v>12</v>
      </c>
      <c r="E341" t="n">
        <v>90.66200000000001</v>
      </c>
      <c r="F341" t="n">
        <v>242.377</v>
      </c>
    </row>
    <row r="342">
      <c r="A342" t="inlineStr">
        <is>
          <t>2018-11</t>
        </is>
      </c>
      <c r="B342" t="inlineStr">
        <is>
          <t>junio 2018</t>
        </is>
      </c>
      <c r="C342" t="inlineStr">
        <is>
          <t>4</t>
        </is>
      </c>
      <c r="D342" t="n">
        <v>13</v>
      </c>
      <c r="E342" t="n">
        <v>129.297</v>
      </c>
      <c r="F342" t="n">
        <v>242.212</v>
      </c>
    </row>
    <row r="343">
      <c r="A343" t="inlineStr">
        <is>
          <t>2018-11</t>
        </is>
      </c>
      <c r="B343" t="inlineStr">
        <is>
          <t>junio 2018</t>
        </is>
      </c>
      <c r="C343" t="inlineStr">
        <is>
          <t>4</t>
        </is>
      </c>
      <c r="D343" t="n">
        <v>14</v>
      </c>
      <c r="E343" t="n">
        <v>133.772</v>
      </c>
      <c r="F343" t="n">
        <v>242.212</v>
      </c>
    </row>
    <row r="344">
      <c r="A344" t="inlineStr">
        <is>
          <t>2018-11</t>
        </is>
      </c>
      <c r="B344" t="inlineStr">
        <is>
          <t>junio 2018</t>
        </is>
      </c>
      <c r="C344" t="inlineStr">
        <is>
          <t>4</t>
        </is>
      </c>
      <c r="D344" t="n">
        <v>15</v>
      </c>
      <c r="E344" t="n">
        <v>134.13</v>
      </c>
      <c r="F344" t="n">
        <v>242.312</v>
      </c>
    </row>
    <row r="345">
      <c r="A345" t="inlineStr">
        <is>
          <t>2018-11</t>
        </is>
      </c>
      <c r="B345" t="inlineStr">
        <is>
          <t>junio 2018</t>
        </is>
      </c>
      <c r="C345" t="inlineStr">
        <is>
          <t>4</t>
        </is>
      </c>
      <c r="D345" t="n">
        <v>16</v>
      </c>
      <c r="E345" t="n">
        <v>138.381</v>
      </c>
      <c r="F345" t="n">
        <v>242.614</v>
      </c>
    </row>
    <row r="346">
      <c r="A346" t="inlineStr">
        <is>
          <t>2018-11</t>
        </is>
      </c>
      <c r="B346" t="inlineStr">
        <is>
          <t>junio 2018</t>
        </is>
      </c>
      <c r="C346" t="inlineStr">
        <is>
          <t>4</t>
        </is>
      </c>
      <c r="D346" t="n">
        <v>17</v>
      </c>
      <c r="E346" t="n">
        <v>151.721</v>
      </c>
      <c r="F346" t="n">
        <v>243.802</v>
      </c>
    </row>
    <row r="347">
      <c r="A347" t="inlineStr">
        <is>
          <t>2018-11</t>
        </is>
      </c>
      <c r="B347" t="inlineStr">
        <is>
          <t>junio 2018</t>
        </is>
      </c>
      <c r="C347" t="inlineStr">
        <is>
          <t>4</t>
        </is>
      </c>
      <c r="D347" t="n">
        <v>18</v>
      </c>
      <c r="E347" t="n">
        <v>159.353</v>
      </c>
      <c r="F347" t="n">
        <v>243.128</v>
      </c>
    </row>
    <row r="348">
      <c r="A348" t="inlineStr">
        <is>
          <t>2018-11</t>
        </is>
      </c>
      <c r="B348" t="inlineStr">
        <is>
          <t>junio 2018</t>
        </is>
      </c>
      <c r="C348" t="inlineStr">
        <is>
          <t>4</t>
        </is>
      </c>
      <c r="D348" t="n">
        <v>19</v>
      </c>
      <c r="E348" t="n">
        <v>159.371</v>
      </c>
      <c r="F348" t="n">
        <v>243.149</v>
      </c>
    </row>
    <row r="349">
      <c r="A349" t="inlineStr">
        <is>
          <t>2018-11</t>
        </is>
      </c>
      <c r="B349" t="inlineStr">
        <is>
          <t>junio 2018</t>
        </is>
      </c>
      <c r="C349" t="inlineStr">
        <is>
          <t>4</t>
        </is>
      </c>
      <c r="D349" t="n">
        <v>20</v>
      </c>
      <c r="E349" t="n">
        <v>160.836</v>
      </c>
      <c r="F349" t="n">
        <v>245.785</v>
      </c>
    </row>
    <row r="350">
      <c r="A350" t="inlineStr">
        <is>
          <t>2018-11</t>
        </is>
      </c>
      <c r="B350" t="inlineStr">
        <is>
          <t>junio 2018</t>
        </is>
      </c>
      <c r="C350" t="inlineStr">
        <is>
          <t>4</t>
        </is>
      </c>
      <c r="D350" t="n">
        <v>21</v>
      </c>
      <c r="E350" t="n">
        <v>170.091</v>
      </c>
      <c r="F350" t="n">
        <v>245.417</v>
      </c>
    </row>
    <row r="351">
      <c r="A351" t="inlineStr">
        <is>
          <t>2018-11</t>
        </is>
      </c>
      <c r="B351" t="inlineStr">
        <is>
          <t>junio 2018</t>
        </is>
      </c>
      <c r="C351" t="inlineStr">
        <is>
          <t>4</t>
        </is>
      </c>
      <c r="D351" t="n">
        <v>22</v>
      </c>
      <c r="E351" t="n">
        <v>205.055</v>
      </c>
      <c r="F351" t="n">
        <v>245.963</v>
      </c>
    </row>
    <row r="352">
      <c r="A352" t="inlineStr">
        <is>
          <t>2018-11</t>
        </is>
      </c>
      <c r="B352" t="inlineStr">
        <is>
          <t>junio 2018</t>
        </is>
      </c>
      <c r="C352" t="inlineStr">
        <is>
          <t>A</t>
        </is>
      </c>
      <c r="D352" t="n">
        <v>1</v>
      </c>
      <c r="E352" t="n">
        <v>0</v>
      </c>
      <c r="F352" t="n">
        <v>233.304</v>
      </c>
    </row>
    <row r="353">
      <c r="A353" t="inlineStr">
        <is>
          <t>2018-11</t>
        </is>
      </c>
      <c r="B353" t="inlineStr">
        <is>
          <t>junio 2018</t>
        </is>
      </c>
      <c r="C353" t="inlineStr">
        <is>
          <t>A</t>
        </is>
      </c>
      <c r="D353" t="n">
        <v>2</v>
      </c>
      <c r="E353" t="n">
        <v>48.177</v>
      </c>
      <c r="F353" t="n">
        <v>234.155</v>
      </c>
    </row>
    <row r="354">
      <c r="A354" t="inlineStr">
        <is>
          <t>2018-11</t>
        </is>
      </c>
      <c r="B354" t="inlineStr">
        <is>
          <t>junio 2018</t>
        </is>
      </c>
      <c r="C354" t="inlineStr">
        <is>
          <t>A</t>
        </is>
      </c>
      <c r="D354" t="n">
        <v>3</v>
      </c>
      <c r="E354" t="n">
        <v>71.024</v>
      </c>
      <c r="F354" t="n">
        <v>234.915</v>
      </c>
    </row>
    <row r="355">
      <c r="A355" t="inlineStr">
        <is>
          <t>2018-11</t>
        </is>
      </c>
      <c r="B355" t="inlineStr">
        <is>
          <t>junio 2018</t>
        </is>
      </c>
      <c r="C355" t="inlineStr">
        <is>
          <t>A</t>
        </is>
      </c>
      <c r="D355" t="n">
        <v>4</v>
      </c>
      <c r="E355" t="n">
        <v>107.894</v>
      </c>
      <c r="F355" t="n">
        <v>236.443</v>
      </c>
    </row>
    <row r="356">
      <c r="A356" t="inlineStr">
        <is>
          <t>2018-11</t>
        </is>
      </c>
      <c r="B356" t="inlineStr">
        <is>
          <t>junio 2018</t>
        </is>
      </c>
      <c r="C356" t="inlineStr">
        <is>
          <t>A</t>
        </is>
      </c>
      <c r="D356" t="n">
        <v>5</v>
      </c>
      <c r="E356" t="n">
        <v>152.756</v>
      </c>
      <c r="F356" t="n">
        <v>238.167</v>
      </c>
    </row>
    <row r="357">
      <c r="A357" t="inlineStr">
        <is>
          <t>2018-11</t>
        </is>
      </c>
      <c r="B357" t="inlineStr">
        <is>
          <t>junio 2018</t>
        </is>
      </c>
      <c r="C357" t="inlineStr">
        <is>
          <t>A</t>
        </is>
      </c>
      <c r="D357" t="n">
        <v>6</v>
      </c>
      <c r="E357" t="n">
        <v>165.168</v>
      </c>
      <c r="F357" t="n">
        <v>238.75</v>
      </c>
    </row>
    <row r="358">
      <c r="A358" t="inlineStr">
        <is>
          <t>2018-11</t>
        </is>
      </c>
      <c r="B358" t="inlineStr">
        <is>
          <t>junio 2018</t>
        </is>
      </c>
      <c r="C358" t="inlineStr">
        <is>
          <t>A</t>
        </is>
      </c>
      <c r="D358" t="n">
        <v>7</v>
      </c>
      <c r="E358" t="n">
        <v>175.995</v>
      </c>
      <c r="F358" t="n">
        <v>238.812</v>
      </c>
    </row>
    <row r="359">
      <c r="A359" t="inlineStr">
        <is>
          <t>2018-11</t>
        </is>
      </c>
      <c r="B359" t="inlineStr">
        <is>
          <t>junio 2018</t>
        </is>
      </c>
      <c r="C359" t="inlineStr">
        <is>
          <t>A</t>
        </is>
      </c>
      <c r="D359" t="n">
        <v>8</v>
      </c>
      <c r="E359" t="n">
        <v>207.495</v>
      </c>
      <c r="F359" t="n">
        <v>239.109</v>
      </c>
    </row>
    <row r="360">
      <c r="A360" t="inlineStr">
        <is>
          <t>2018-11</t>
        </is>
      </c>
      <c r="B360" t="inlineStr">
        <is>
          <t>junio 2018</t>
        </is>
      </c>
      <c r="C360" t="inlineStr">
        <is>
          <t>A</t>
        </is>
      </c>
      <c r="D360" t="n">
        <v>9</v>
      </c>
      <c r="E360" t="n">
        <v>224.654</v>
      </c>
      <c r="F360" t="n">
        <v>239.322</v>
      </c>
    </row>
    <row r="361">
      <c r="A361" t="inlineStr">
        <is>
          <t>2018-11</t>
        </is>
      </c>
      <c r="B361" t="inlineStr">
        <is>
          <t>junio 2018</t>
        </is>
      </c>
      <c r="C361" t="inlineStr">
        <is>
          <t>A</t>
        </is>
      </c>
      <c r="D361" t="n">
        <v>10</v>
      </c>
      <c r="E361" t="n">
        <v>289.787</v>
      </c>
      <c r="F361" t="n">
        <v>240.489</v>
      </c>
    </row>
    <row r="362">
      <c r="A362" t="inlineStr">
        <is>
          <t>2018-11</t>
        </is>
      </c>
      <c r="B362" t="inlineStr">
        <is>
          <t>junio 2018</t>
        </is>
      </c>
      <c r="C362" t="inlineStr">
        <is>
          <t>A</t>
        </is>
      </c>
      <c r="D362" t="n">
        <v>11</v>
      </c>
      <c r="E362" t="n">
        <v>300.497</v>
      </c>
      <c r="F362" t="n">
        <v>240.613</v>
      </c>
    </row>
    <row r="363">
      <c r="A363" t="inlineStr">
        <is>
          <t>2018-11</t>
        </is>
      </c>
      <c r="B363" t="inlineStr">
        <is>
          <t>junio 2018</t>
        </is>
      </c>
      <c r="C363" t="inlineStr">
        <is>
          <t>A</t>
        </is>
      </c>
      <c r="D363" t="n">
        <v>12</v>
      </c>
      <c r="E363" t="n">
        <v>305.952</v>
      </c>
      <c r="F363" t="n">
        <v>240.628</v>
      </c>
    </row>
    <row r="364">
      <c r="A364" t="inlineStr">
        <is>
          <t>2018-11</t>
        </is>
      </c>
      <c r="B364" t="inlineStr">
        <is>
          <t>junio 2018</t>
        </is>
      </c>
      <c r="C364" t="inlineStr">
        <is>
          <t>A</t>
        </is>
      </c>
      <c r="D364" t="n">
        <v>13</v>
      </c>
      <c r="E364" t="n">
        <v>310.727</v>
      </c>
      <c r="F364" t="n">
        <v>236.502</v>
      </c>
    </row>
    <row r="365">
      <c r="A365" t="inlineStr">
        <is>
          <t>2018-11</t>
        </is>
      </c>
      <c r="B365" t="inlineStr">
        <is>
          <t>junio 2018</t>
        </is>
      </c>
      <c r="C365" t="inlineStr">
        <is>
          <t>A</t>
        </is>
      </c>
      <c r="D365" t="n">
        <v>14</v>
      </c>
      <c r="E365" t="n">
        <v>318.841</v>
      </c>
      <c r="F365" t="n">
        <v>227.717</v>
      </c>
    </row>
    <row r="366">
      <c r="A366" t="inlineStr">
        <is>
          <t>2018-11</t>
        </is>
      </c>
      <c r="B366" t="inlineStr">
        <is>
          <t>junio 2018</t>
        </is>
      </c>
      <c r="C366" t="inlineStr">
        <is>
          <t>A</t>
        </is>
      </c>
      <c r="D366" t="n">
        <v>15</v>
      </c>
      <c r="E366" t="n">
        <v>322.26</v>
      </c>
      <c r="F366" t="n">
        <v>227.328</v>
      </c>
    </row>
    <row r="367">
      <c r="A367" t="inlineStr">
        <is>
          <t>2018-11</t>
        </is>
      </c>
      <c r="B367" t="inlineStr">
        <is>
          <t>junio 2018</t>
        </is>
      </c>
      <c r="C367" t="inlineStr">
        <is>
          <t>A</t>
        </is>
      </c>
      <c r="D367" t="n">
        <v>16</v>
      </c>
      <c r="E367" t="n">
        <v>328.357</v>
      </c>
      <c r="F367" t="n">
        <v>227.719</v>
      </c>
    </row>
    <row r="368">
      <c r="A368" t="inlineStr">
        <is>
          <t>2018-11</t>
        </is>
      </c>
      <c r="B368" t="inlineStr">
        <is>
          <t>junio 2018</t>
        </is>
      </c>
      <c r="C368" t="inlineStr">
        <is>
          <t>A</t>
        </is>
      </c>
      <c r="D368" t="n">
        <v>17</v>
      </c>
      <c r="E368" t="n">
        <v>334.927</v>
      </c>
      <c r="F368" t="n">
        <v>227.84</v>
      </c>
    </row>
    <row r="369">
      <c r="A369" t="inlineStr">
        <is>
          <t>2018-11</t>
        </is>
      </c>
      <c r="B369" t="inlineStr">
        <is>
          <t>junio 2018</t>
        </is>
      </c>
      <c r="C369" t="inlineStr">
        <is>
          <t>A</t>
        </is>
      </c>
      <c r="D369" t="n">
        <v>18</v>
      </c>
      <c r="E369" t="n">
        <v>340.906</v>
      </c>
      <c r="F369" t="n">
        <v>227.623</v>
      </c>
    </row>
    <row r="370">
      <c r="A370" t="inlineStr">
        <is>
          <t>2018-11</t>
        </is>
      </c>
      <c r="B370" t="inlineStr">
        <is>
          <t>junio 2018</t>
        </is>
      </c>
      <c r="C370" t="inlineStr">
        <is>
          <t>A</t>
        </is>
      </c>
      <c r="D370" t="n">
        <v>19</v>
      </c>
      <c r="E370" t="n">
        <v>355.966</v>
      </c>
      <c r="F370" t="n">
        <v>227.209</v>
      </c>
    </row>
    <row r="371">
      <c r="A371" t="inlineStr">
        <is>
          <t>2018-11</t>
        </is>
      </c>
      <c r="B371" t="inlineStr">
        <is>
          <t>junio 2018</t>
        </is>
      </c>
      <c r="C371" t="inlineStr">
        <is>
          <t>A</t>
        </is>
      </c>
      <c r="D371" t="n">
        <v>20</v>
      </c>
      <c r="E371" t="n">
        <v>365.57</v>
      </c>
      <c r="F371" t="n">
        <v>228.354</v>
      </c>
    </row>
    <row r="372">
      <c r="A372" t="inlineStr">
        <is>
          <t>2018-11</t>
        </is>
      </c>
      <c r="B372" t="inlineStr">
        <is>
          <t>junio 2018</t>
        </is>
      </c>
      <c r="C372" t="inlineStr">
        <is>
          <t>A</t>
        </is>
      </c>
      <c r="D372" t="n">
        <v>21</v>
      </c>
      <c r="E372" t="n">
        <v>368.08</v>
      </c>
      <c r="F372" t="n">
        <v>228.711</v>
      </c>
    </row>
    <row r="373">
      <c r="A373" t="inlineStr">
        <is>
          <t>2018-11</t>
        </is>
      </c>
      <c r="B373" t="inlineStr">
        <is>
          <t>junio 2018</t>
        </is>
      </c>
      <c r="C373" t="inlineStr">
        <is>
          <t>A</t>
        </is>
      </c>
      <c r="D373" t="n">
        <v>22</v>
      </c>
      <c r="E373" t="n">
        <v>368.9</v>
      </c>
      <c r="F373" t="n">
        <v>228.718</v>
      </c>
    </row>
    <row r="374">
      <c r="A374" t="inlineStr">
        <is>
          <t>2018-11</t>
        </is>
      </c>
      <c r="B374" t="inlineStr">
        <is>
          <t>junio 2018</t>
        </is>
      </c>
      <c r="C374" t="inlineStr">
        <is>
          <t>A</t>
        </is>
      </c>
      <c r="D374" t="n">
        <v>23</v>
      </c>
      <c r="E374" t="n">
        <v>383.941</v>
      </c>
      <c r="F374" t="n">
        <v>228.623</v>
      </c>
    </row>
    <row r="375">
      <c r="A375" t="inlineStr">
        <is>
          <t>2018-11</t>
        </is>
      </c>
      <c r="B375" t="inlineStr">
        <is>
          <t>junio 2018</t>
        </is>
      </c>
      <c r="C375" t="inlineStr">
        <is>
          <t>A</t>
        </is>
      </c>
      <c r="D375" t="n">
        <v>24</v>
      </c>
      <c r="E375" t="n">
        <v>407.854</v>
      </c>
      <c r="F375" t="n">
        <v>230.014</v>
      </c>
    </row>
    <row r="376">
      <c r="A376" t="inlineStr">
        <is>
          <t>2018-11</t>
        </is>
      </c>
      <c r="B376" t="inlineStr">
        <is>
          <t>junio 2018</t>
        </is>
      </c>
      <c r="C376" t="inlineStr">
        <is>
          <t>A</t>
        </is>
      </c>
      <c r="D376" t="n">
        <v>25</v>
      </c>
      <c r="E376" t="n">
        <v>415.826</v>
      </c>
      <c r="F376" t="n">
        <v>231.029</v>
      </c>
    </row>
    <row r="377">
      <c r="A377" t="inlineStr">
        <is>
          <t>2018-11</t>
        </is>
      </c>
      <c r="B377" t="inlineStr">
        <is>
          <t>junio 2018</t>
        </is>
      </c>
      <c r="C377" t="inlineStr">
        <is>
          <t>A</t>
        </is>
      </c>
      <c r="D377" t="n">
        <v>26</v>
      </c>
      <c r="E377" t="n">
        <v>431.805</v>
      </c>
      <c r="F377" t="n">
        <v>230.956</v>
      </c>
    </row>
    <row r="378">
      <c r="A378" t="inlineStr">
        <is>
          <t>2018-11</t>
        </is>
      </c>
      <c r="B378" t="inlineStr">
        <is>
          <t>junio 2018</t>
        </is>
      </c>
      <c r="C378" t="inlineStr">
        <is>
          <t>A</t>
        </is>
      </c>
      <c r="D378" t="n">
        <v>27</v>
      </c>
      <c r="E378" t="n">
        <v>448.665</v>
      </c>
      <c r="F378" t="n">
        <v>230.692</v>
      </c>
    </row>
    <row r="379">
      <c r="A379" t="inlineStr">
        <is>
          <t>2018-11</t>
        </is>
      </c>
      <c r="B379" t="inlineStr">
        <is>
          <t>junio 2018</t>
        </is>
      </c>
      <c r="C379" t="inlineStr">
        <is>
          <t>A</t>
        </is>
      </c>
      <c r="D379" t="n">
        <v>28</v>
      </c>
      <c r="E379" t="n">
        <v>460.69</v>
      </c>
      <c r="F379" t="n">
        <v>230.6</v>
      </c>
    </row>
    <row r="380">
      <c r="A380" t="inlineStr">
        <is>
          <t>2018-11</t>
        </is>
      </c>
      <c r="B380" t="inlineStr">
        <is>
          <t>junio 2018</t>
        </is>
      </c>
      <c r="C380" t="inlineStr">
        <is>
          <t>A</t>
        </is>
      </c>
      <c r="D380" t="n">
        <v>29</v>
      </c>
      <c r="E380" t="n">
        <v>473.235</v>
      </c>
      <c r="F380" t="n">
        <v>230.693</v>
      </c>
    </row>
    <row r="381">
      <c r="A381" t="inlineStr">
        <is>
          <t>2018-11</t>
        </is>
      </c>
      <c r="B381" t="inlineStr">
        <is>
          <t>junio 2018</t>
        </is>
      </c>
      <c r="C381" t="inlineStr">
        <is>
          <t>A</t>
        </is>
      </c>
      <c r="D381" t="n">
        <v>30</v>
      </c>
      <c r="E381" t="n">
        <v>491.099</v>
      </c>
      <c r="F381" t="n">
        <v>231.321</v>
      </c>
    </row>
    <row r="382">
      <c r="A382" t="inlineStr">
        <is>
          <t>2018-11</t>
        </is>
      </c>
      <c r="B382" t="inlineStr">
        <is>
          <t>junio 2018</t>
        </is>
      </c>
      <c r="C382" t="inlineStr">
        <is>
          <t>A</t>
        </is>
      </c>
      <c r="D382" t="n">
        <v>31</v>
      </c>
      <c r="E382" t="n">
        <v>505.923</v>
      </c>
      <c r="F382" t="n">
        <v>231.76</v>
      </c>
    </row>
    <row r="383">
      <c r="A383" t="inlineStr">
        <is>
          <t>2018-11</t>
        </is>
      </c>
      <c r="B383" t="inlineStr">
        <is>
          <t>junio 2018</t>
        </is>
      </c>
      <c r="C383" t="inlineStr">
        <is>
          <t>A</t>
        </is>
      </c>
      <c r="D383" t="n">
        <v>32</v>
      </c>
      <c r="E383" t="n">
        <v>560.819</v>
      </c>
      <c r="F383" t="n">
        <v>233.774</v>
      </c>
    </row>
    <row r="384">
      <c r="A384" t="inlineStr">
        <is>
          <t>2018-11</t>
        </is>
      </c>
      <c r="B384" t="inlineStr">
        <is>
          <t>junio 2018</t>
        </is>
      </c>
      <c r="C384" t="inlineStr">
        <is>
          <t>A</t>
        </is>
      </c>
      <c r="D384" t="n">
        <v>33</v>
      </c>
      <c r="E384" t="n">
        <v>587.28</v>
      </c>
      <c r="F384" t="n">
        <v>233.936</v>
      </c>
    </row>
    <row r="385">
      <c r="A385" t="inlineStr">
        <is>
          <t>2018-11</t>
        </is>
      </c>
      <c r="B385" t="inlineStr">
        <is>
          <t>junio 2018</t>
        </is>
      </c>
      <c r="C385" t="inlineStr">
        <is>
          <t>A</t>
        </is>
      </c>
      <c r="D385" t="n">
        <v>34</v>
      </c>
      <c r="E385" t="n">
        <v>592.9299999999999</v>
      </c>
      <c r="F385" t="n">
        <v>234.999</v>
      </c>
    </row>
    <row r="386">
      <c r="A386" t="inlineStr">
        <is>
          <t>2018-11</t>
        </is>
      </c>
      <c r="B386" t="inlineStr">
        <is>
          <t>junio 2018</t>
        </is>
      </c>
      <c r="C386" t="inlineStr">
        <is>
          <t>A</t>
        </is>
      </c>
      <c r="D386" t="n">
        <v>35</v>
      </c>
      <c r="E386" t="n">
        <v>624.388</v>
      </c>
      <c r="F386" t="n">
        <v>240.757</v>
      </c>
    </row>
    <row r="387">
      <c r="A387" t="inlineStr">
        <is>
          <t>2018-11</t>
        </is>
      </c>
      <c r="B387" t="inlineStr">
        <is>
          <t>junio 2018</t>
        </is>
      </c>
      <c r="C387" t="inlineStr">
        <is>
          <t>A</t>
        </is>
      </c>
      <c r="D387" t="n">
        <v>36</v>
      </c>
      <c r="E387" t="n">
        <v>628.0599999999999</v>
      </c>
      <c r="F387" t="n">
        <v>241.566</v>
      </c>
    </row>
    <row r="388">
      <c r="A388" t="inlineStr">
        <is>
          <t>2018-11</t>
        </is>
      </c>
      <c r="B388" t="inlineStr">
        <is>
          <t>junio 2018</t>
        </is>
      </c>
      <c r="C388" t="inlineStr">
        <is>
          <t>A</t>
        </is>
      </c>
      <c r="D388" t="n">
        <v>37</v>
      </c>
      <c r="E388" t="n">
        <v>841.626</v>
      </c>
      <c r="F388" t="n">
        <v>240.514</v>
      </c>
    </row>
    <row r="389">
      <c r="A389" t="inlineStr">
        <is>
          <t>2018-11</t>
        </is>
      </c>
      <c r="B389" t="inlineStr">
        <is>
          <t>junio 2018</t>
        </is>
      </c>
      <c r="C389" t="inlineStr">
        <is>
          <t>B</t>
        </is>
      </c>
      <c r="D389" t="n">
        <v>1</v>
      </c>
      <c r="E389" t="n">
        <v>0</v>
      </c>
      <c r="F389" t="n">
        <v>243.497</v>
      </c>
    </row>
    <row r="390">
      <c r="A390" t="inlineStr">
        <is>
          <t>2018-11</t>
        </is>
      </c>
      <c r="B390" t="inlineStr">
        <is>
          <t>junio 2018</t>
        </is>
      </c>
      <c r="C390" t="inlineStr">
        <is>
          <t>B</t>
        </is>
      </c>
      <c r="D390" t="n">
        <v>2</v>
      </c>
      <c r="E390" t="n">
        <v>48.775</v>
      </c>
      <c r="F390" t="n">
        <v>243.294</v>
      </c>
    </row>
    <row r="391">
      <c r="A391" t="inlineStr">
        <is>
          <t>2018-11</t>
        </is>
      </c>
      <c r="B391" t="inlineStr">
        <is>
          <t>junio 2018</t>
        </is>
      </c>
      <c r="C391" t="inlineStr">
        <is>
          <t>B</t>
        </is>
      </c>
      <c r="D391" t="n">
        <v>3</v>
      </c>
      <c r="E391" t="n">
        <v>49.081</v>
      </c>
      <c r="F391" t="n">
        <v>243.289</v>
      </c>
    </row>
    <row r="392">
      <c r="A392" t="inlineStr">
        <is>
          <t>2018-11</t>
        </is>
      </c>
      <c r="B392" t="inlineStr">
        <is>
          <t>junio 2018</t>
        </is>
      </c>
      <c r="C392" t="inlineStr">
        <is>
          <t>B</t>
        </is>
      </c>
      <c r="D392" t="n">
        <v>4</v>
      </c>
      <c r="E392" t="n">
        <v>50.161</v>
      </c>
      <c r="F392" t="n">
        <v>242.741</v>
      </c>
    </row>
    <row r="393">
      <c r="A393" t="inlineStr">
        <is>
          <t>2018-11</t>
        </is>
      </c>
      <c r="B393" t="inlineStr">
        <is>
          <t>junio 2018</t>
        </is>
      </c>
      <c r="C393" t="inlineStr">
        <is>
          <t>B</t>
        </is>
      </c>
      <c r="D393" t="n">
        <v>5</v>
      </c>
      <c r="E393" t="n">
        <v>62.166</v>
      </c>
      <c r="F393" t="n">
        <v>237.147</v>
      </c>
    </row>
    <row r="394">
      <c r="A394" t="inlineStr">
        <is>
          <t>2018-11</t>
        </is>
      </c>
      <c r="B394" t="inlineStr">
        <is>
          <t>junio 2018</t>
        </is>
      </c>
      <c r="C394" t="inlineStr">
        <is>
          <t>B</t>
        </is>
      </c>
      <c r="D394" t="n">
        <v>6</v>
      </c>
      <c r="E394" t="n">
        <v>77.28</v>
      </c>
      <c r="F394" t="n">
        <v>237.14</v>
      </c>
    </row>
    <row r="395">
      <c r="A395" t="inlineStr">
        <is>
          <t>2018-11</t>
        </is>
      </c>
      <c r="B395" t="inlineStr">
        <is>
          <t>junio 2018</t>
        </is>
      </c>
      <c r="C395" t="inlineStr">
        <is>
          <t>B</t>
        </is>
      </c>
      <c r="D395" t="n">
        <v>7</v>
      </c>
      <c r="E395" t="n">
        <v>109.524</v>
      </c>
      <c r="F395" t="n">
        <v>236.875</v>
      </c>
    </row>
    <row r="396">
      <c r="A396" t="inlineStr">
        <is>
          <t>2018-11</t>
        </is>
      </c>
      <c r="B396" t="inlineStr">
        <is>
          <t>junio 2018</t>
        </is>
      </c>
      <c r="C396" t="inlineStr">
        <is>
          <t>B</t>
        </is>
      </c>
      <c r="D396" t="n">
        <v>8</v>
      </c>
      <c r="E396" t="n">
        <v>115.293</v>
      </c>
      <c r="F396" t="n">
        <v>235.108</v>
      </c>
    </row>
    <row r="397">
      <c r="A397" t="inlineStr">
        <is>
          <t>2018-11</t>
        </is>
      </c>
      <c r="B397" t="inlineStr">
        <is>
          <t>junio 2018</t>
        </is>
      </c>
      <c r="C397" t="inlineStr">
        <is>
          <t>B</t>
        </is>
      </c>
      <c r="D397" t="n">
        <v>9</v>
      </c>
      <c r="E397" t="n">
        <v>115.742</v>
      </c>
      <c r="F397" t="n">
        <v>234.985</v>
      </c>
    </row>
    <row r="398">
      <c r="A398" t="inlineStr">
        <is>
          <t>2018-11</t>
        </is>
      </c>
      <c r="B398" t="inlineStr">
        <is>
          <t>junio 2018</t>
        </is>
      </c>
      <c r="C398" t="inlineStr">
        <is>
          <t>B</t>
        </is>
      </c>
      <c r="D398" t="n">
        <v>10</v>
      </c>
      <c r="E398" t="n">
        <v>116.743</v>
      </c>
      <c r="F398" t="n">
        <v>234.98</v>
      </c>
    </row>
    <row r="399">
      <c r="A399" t="inlineStr">
        <is>
          <t>2018-11</t>
        </is>
      </c>
      <c r="B399" t="inlineStr">
        <is>
          <t>junio 2018</t>
        </is>
      </c>
      <c r="C399" t="inlineStr">
        <is>
          <t>B</t>
        </is>
      </c>
      <c r="D399" t="n">
        <v>11</v>
      </c>
      <c r="E399" t="n">
        <v>134</v>
      </c>
      <c r="F399" t="n">
        <v>234.884</v>
      </c>
    </row>
    <row r="400">
      <c r="A400" t="inlineStr">
        <is>
          <t>2018-11</t>
        </is>
      </c>
      <c r="B400" t="inlineStr">
        <is>
          <t>junio 2018</t>
        </is>
      </c>
      <c r="C400" t="inlineStr">
        <is>
          <t>B</t>
        </is>
      </c>
      <c r="D400" t="n">
        <v>12</v>
      </c>
      <c r="E400" t="n">
        <v>158.32</v>
      </c>
      <c r="F400" t="n">
        <v>237.725</v>
      </c>
    </row>
    <row r="401">
      <c r="A401" t="inlineStr">
        <is>
          <t>2018-11</t>
        </is>
      </c>
      <c r="B401" t="inlineStr">
        <is>
          <t>junio 2018</t>
        </is>
      </c>
      <c r="C401" t="inlineStr">
        <is>
          <t>B</t>
        </is>
      </c>
      <c r="D401" t="n">
        <v>13</v>
      </c>
      <c r="E401" t="n">
        <v>159.961</v>
      </c>
      <c r="F401" t="n">
        <v>237.847</v>
      </c>
    </row>
    <row r="402">
      <c r="A402" t="inlineStr">
        <is>
          <t>2018-11</t>
        </is>
      </c>
      <c r="B402" t="inlineStr">
        <is>
          <t>junio 2018</t>
        </is>
      </c>
      <c r="C402" t="inlineStr">
        <is>
          <t>B</t>
        </is>
      </c>
      <c r="D402" t="n">
        <v>14</v>
      </c>
      <c r="E402" t="n">
        <v>161.078</v>
      </c>
      <c r="F402" t="n">
        <v>237.838</v>
      </c>
    </row>
    <row r="403">
      <c r="A403" t="inlineStr">
        <is>
          <t>2018-11</t>
        </is>
      </c>
      <c r="B403" t="inlineStr">
        <is>
          <t>junio 2018</t>
        </is>
      </c>
      <c r="C403" t="inlineStr">
        <is>
          <t>B</t>
        </is>
      </c>
      <c r="D403" t="n">
        <v>15</v>
      </c>
      <c r="E403" t="n">
        <v>164.641</v>
      </c>
      <c r="F403" t="n">
        <v>237.684</v>
      </c>
    </row>
    <row r="404">
      <c r="A404" t="inlineStr">
        <is>
          <t>2018-11</t>
        </is>
      </c>
      <c r="B404" t="inlineStr">
        <is>
          <t>junio 2018</t>
        </is>
      </c>
      <c r="C404" t="inlineStr">
        <is>
          <t>B</t>
        </is>
      </c>
      <c r="D404" t="n">
        <v>16</v>
      </c>
      <c r="E404" t="n">
        <v>225.405</v>
      </c>
      <c r="F404" t="n">
        <v>234.015</v>
      </c>
    </row>
    <row r="405">
      <c r="A405" t="inlineStr">
        <is>
          <t>2018-11</t>
        </is>
      </c>
      <c r="B405" t="inlineStr">
        <is>
          <t>junio 2018</t>
        </is>
      </c>
      <c r="C405" t="inlineStr">
        <is>
          <t>B</t>
        </is>
      </c>
      <c r="D405" t="n">
        <v>17</v>
      </c>
      <c r="E405" t="n">
        <v>232.713</v>
      </c>
      <c r="F405" t="n">
        <v>234.005</v>
      </c>
    </row>
    <row r="406">
      <c r="A406" t="inlineStr">
        <is>
          <t>2018-11</t>
        </is>
      </c>
      <c r="B406" t="inlineStr">
        <is>
          <t>junio 2018</t>
        </is>
      </c>
      <c r="C406" t="inlineStr">
        <is>
          <t>B</t>
        </is>
      </c>
      <c r="D406" t="n">
        <v>18</v>
      </c>
      <c r="E406" t="n">
        <v>240.843</v>
      </c>
      <c r="F406" t="n">
        <v>234</v>
      </c>
    </row>
    <row r="407">
      <c r="A407" t="inlineStr">
        <is>
          <t>2018-11</t>
        </is>
      </c>
      <c r="B407" t="inlineStr">
        <is>
          <t>junio 2018</t>
        </is>
      </c>
      <c r="C407" t="inlineStr">
        <is>
          <t>B</t>
        </is>
      </c>
      <c r="D407" t="n">
        <v>19</v>
      </c>
      <c r="E407" t="n">
        <v>242.249</v>
      </c>
      <c r="F407" t="n">
        <v>234.65</v>
      </c>
    </row>
    <row r="408">
      <c r="A408" t="inlineStr">
        <is>
          <t>2018-11</t>
        </is>
      </c>
      <c r="B408" t="inlineStr">
        <is>
          <t>junio 2018</t>
        </is>
      </c>
      <c r="C408" t="inlineStr">
        <is>
          <t>B</t>
        </is>
      </c>
      <c r="D408" t="n">
        <v>20</v>
      </c>
      <c r="E408" t="n">
        <v>247.187</v>
      </c>
      <c r="F408" t="n">
        <v>238.964</v>
      </c>
    </row>
    <row r="409">
      <c r="A409" t="inlineStr">
        <is>
          <t>2018-11</t>
        </is>
      </c>
      <c r="B409" t="inlineStr">
        <is>
          <t>junio 2018</t>
        </is>
      </c>
      <c r="C409" t="inlineStr">
        <is>
          <t>B</t>
        </is>
      </c>
      <c r="D409" t="n">
        <v>21</v>
      </c>
      <c r="E409" t="n">
        <v>252.827</v>
      </c>
      <c r="F409" t="n">
        <v>241.94</v>
      </c>
    </row>
    <row r="410">
      <c r="A410" t="inlineStr">
        <is>
          <t>2018-11</t>
        </is>
      </c>
      <c r="B410" t="inlineStr">
        <is>
          <t>junio 2018</t>
        </is>
      </c>
      <c r="C410" t="inlineStr">
        <is>
          <t>B</t>
        </is>
      </c>
      <c r="D410" t="n">
        <v>22</v>
      </c>
      <c r="E410" t="n">
        <v>255.59</v>
      </c>
      <c r="F410" t="n">
        <v>244.245</v>
      </c>
    </row>
    <row r="411">
      <c r="A411" t="inlineStr">
        <is>
          <t>2018-11</t>
        </is>
      </c>
      <c r="B411" t="inlineStr">
        <is>
          <t>junio 2018</t>
        </is>
      </c>
      <c r="C411" t="inlineStr">
        <is>
          <t>B</t>
        </is>
      </c>
      <c r="D411" t="n">
        <v>23</v>
      </c>
      <c r="E411" t="n">
        <v>258.991</v>
      </c>
      <c r="F411" t="n">
        <v>244.27</v>
      </c>
    </row>
    <row r="412">
      <c r="A412" t="inlineStr">
        <is>
          <t>2018-11</t>
        </is>
      </c>
      <c r="B412" t="inlineStr">
        <is>
          <t>junio 2018</t>
        </is>
      </c>
      <c r="C412" t="inlineStr">
        <is>
          <t>B</t>
        </is>
      </c>
      <c r="D412" t="n">
        <v>24</v>
      </c>
      <c r="E412" t="n">
        <v>262.875</v>
      </c>
      <c r="F412" t="n">
        <v>244.369</v>
      </c>
    </row>
    <row r="413">
      <c r="A413" t="inlineStr">
        <is>
          <t>2018-11</t>
        </is>
      </c>
      <c r="B413" t="inlineStr">
        <is>
          <t>junio 2018</t>
        </is>
      </c>
      <c r="C413" t="inlineStr">
        <is>
          <t>B</t>
        </is>
      </c>
      <c r="D413" t="n">
        <v>25</v>
      </c>
      <c r="E413" t="n">
        <v>271.457</v>
      </c>
      <c r="F413" t="n">
        <v>244.511</v>
      </c>
    </row>
    <row r="414">
      <c r="A414" t="inlineStr">
        <is>
          <t>2018-11</t>
        </is>
      </c>
      <c r="B414" t="inlineStr">
        <is>
          <t>junio 2018</t>
        </is>
      </c>
      <c r="C414" t="inlineStr">
        <is>
          <t>B</t>
        </is>
      </c>
      <c r="D414" t="n">
        <v>26</v>
      </c>
      <c r="E414" t="n">
        <v>278.971</v>
      </c>
      <c r="F414" t="n">
        <v>244.674</v>
      </c>
    </row>
    <row r="415">
      <c r="A415" t="inlineStr">
        <is>
          <t>2018-11</t>
        </is>
      </c>
      <c r="B415" t="inlineStr">
        <is>
          <t>junio 2018</t>
        </is>
      </c>
      <c r="C415" t="inlineStr">
        <is>
          <t>B</t>
        </is>
      </c>
      <c r="D415" t="n">
        <v>27</v>
      </c>
      <c r="E415" t="n">
        <v>279.271</v>
      </c>
      <c r="F415" t="n">
        <v>244.44</v>
      </c>
    </row>
    <row r="416">
      <c r="A416" t="inlineStr">
        <is>
          <t>2018-11</t>
        </is>
      </c>
      <c r="B416" t="inlineStr">
        <is>
          <t>junio 2018</t>
        </is>
      </c>
      <c r="C416" t="inlineStr">
        <is>
          <t>B</t>
        </is>
      </c>
      <c r="D416" t="n">
        <v>28</v>
      </c>
      <c r="E416" t="n">
        <v>286.476</v>
      </c>
      <c r="F416" t="n">
        <v>239.62</v>
      </c>
    </row>
    <row r="417">
      <c r="A417" t="inlineStr">
        <is>
          <t>2018-11</t>
        </is>
      </c>
      <c r="B417" t="inlineStr">
        <is>
          <t>junio 2018</t>
        </is>
      </c>
      <c r="C417" t="inlineStr">
        <is>
          <t>B</t>
        </is>
      </c>
      <c r="D417" t="n">
        <v>29</v>
      </c>
      <c r="E417" t="n">
        <v>306.982</v>
      </c>
      <c r="F417" t="n">
        <v>238.935</v>
      </c>
    </row>
    <row r="418">
      <c r="A418" t="inlineStr">
        <is>
          <t>2018-11</t>
        </is>
      </c>
      <c r="B418" t="inlineStr">
        <is>
          <t>junio 2018</t>
        </is>
      </c>
      <c r="C418" t="inlineStr">
        <is>
          <t>B</t>
        </is>
      </c>
      <c r="D418" t="n">
        <v>30</v>
      </c>
      <c r="E418" t="n">
        <v>324.25</v>
      </c>
      <c r="F418" t="n">
        <v>238.354</v>
      </c>
    </row>
    <row r="419">
      <c r="A419" t="inlineStr">
        <is>
          <t>2018-11</t>
        </is>
      </c>
      <c r="B419" t="inlineStr">
        <is>
          <t>junio 2018</t>
        </is>
      </c>
      <c r="C419" t="inlineStr">
        <is>
          <t>B</t>
        </is>
      </c>
      <c r="D419" t="n">
        <v>31</v>
      </c>
      <c r="E419" t="n">
        <v>357.427</v>
      </c>
      <c r="F419" t="n">
        <v>232.817</v>
      </c>
    </row>
    <row r="420">
      <c r="A420" t="inlineStr">
        <is>
          <t>2018-11</t>
        </is>
      </c>
      <c r="B420" t="inlineStr">
        <is>
          <t>junio 2018</t>
        </is>
      </c>
      <c r="C420" t="inlineStr">
        <is>
          <t>B</t>
        </is>
      </c>
      <c r="D420" t="n">
        <v>32</v>
      </c>
      <c r="E420" t="n">
        <v>357.986</v>
      </c>
      <c r="F420" t="n">
        <v>232.629</v>
      </c>
    </row>
    <row r="421">
      <c r="A421" t="inlineStr">
        <is>
          <t>2018-11</t>
        </is>
      </c>
      <c r="B421" t="inlineStr">
        <is>
          <t>junio 2018</t>
        </is>
      </c>
      <c r="C421" t="inlineStr">
        <is>
          <t>B</t>
        </is>
      </c>
      <c r="D421" t="n">
        <v>33</v>
      </c>
      <c r="E421" t="n">
        <v>358.91</v>
      </c>
      <c r="F421" t="n">
        <v>232.621</v>
      </c>
    </row>
    <row r="422">
      <c r="A422" t="inlineStr">
        <is>
          <t>2018-11</t>
        </is>
      </c>
      <c r="B422" t="inlineStr">
        <is>
          <t>junio 2018</t>
        </is>
      </c>
      <c r="C422" t="inlineStr">
        <is>
          <t>B</t>
        </is>
      </c>
      <c r="D422" t="n">
        <v>34</v>
      </c>
      <c r="E422" t="n">
        <v>359.489</v>
      </c>
      <c r="F422" t="n">
        <v>232.694</v>
      </c>
    </row>
    <row r="423">
      <c r="A423" t="inlineStr">
        <is>
          <t>2018-11</t>
        </is>
      </c>
      <c r="B423" t="inlineStr">
        <is>
          <t>junio 2018</t>
        </is>
      </c>
      <c r="C423" t="inlineStr">
        <is>
          <t>B</t>
        </is>
      </c>
      <c r="D423" t="n">
        <v>35</v>
      </c>
      <c r="E423" t="n">
        <v>359.612</v>
      </c>
      <c r="F423" t="n">
        <v>232.705</v>
      </c>
    </row>
    <row r="424">
      <c r="A424" t="inlineStr">
        <is>
          <t>2018-11</t>
        </is>
      </c>
      <c r="B424" t="inlineStr">
        <is>
          <t>junio 2018</t>
        </is>
      </c>
      <c r="C424" t="inlineStr">
        <is>
          <t>B</t>
        </is>
      </c>
      <c r="D424" t="n">
        <v>36</v>
      </c>
      <c r="E424" t="n">
        <v>365.015</v>
      </c>
      <c r="F424" t="n">
        <v>233.313</v>
      </c>
    </row>
    <row r="425">
      <c r="A425" t="inlineStr">
        <is>
          <t>2018-11</t>
        </is>
      </c>
      <c r="B425" t="inlineStr">
        <is>
          <t>junio 2018</t>
        </is>
      </c>
      <c r="C425" t="inlineStr">
        <is>
          <t>B</t>
        </is>
      </c>
      <c r="D425" t="n">
        <v>37</v>
      </c>
      <c r="E425" t="n">
        <v>365.394</v>
      </c>
      <c r="F425" t="n">
        <v>233.921</v>
      </c>
    </row>
    <row r="426">
      <c r="A426" t="inlineStr">
        <is>
          <t>2018-11</t>
        </is>
      </c>
      <c r="B426" t="inlineStr">
        <is>
          <t>junio 2018</t>
        </is>
      </c>
      <c r="C426" t="inlineStr">
        <is>
          <t>B</t>
        </is>
      </c>
      <c r="D426" t="n">
        <v>38</v>
      </c>
      <c r="E426" t="n">
        <v>368.279</v>
      </c>
      <c r="F426" t="n">
        <v>234.566</v>
      </c>
    </row>
    <row r="427">
      <c r="A427" t="inlineStr">
        <is>
          <t>2018-11</t>
        </is>
      </c>
      <c r="B427" t="inlineStr">
        <is>
          <t>junio 2018</t>
        </is>
      </c>
      <c r="C427" t="inlineStr">
        <is>
          <t>B</t>
        </is>
      </c>
      <c r="D427" t="n">
        <v>39</v>
      </c>
      <c r="E427" t="n">
        <v>368.374</v>
      </c>
      <c r="F427" t="n">
        <v>234.223</v>
      </c>
    </row>
    <row r="428">
      <c r="A428" t="inlineStr">
        <is>
          <t>2018-11</t>
        </is>
      </c>
      <c r="B428" t="inlineStr">
        <is>
          <t>junio 2018</t>
        </is>
      </c>
      <c r="C428" t="inlineStr">
        <is>
          <t>B</t>
        </is>
      </c>
      <c r="D428" t="n">
        <v>40</v>
      </c>
      <c r="E428" t="n">
        <v>370.266</v>
      </c>
      <c r="F428" t="n">
        <v>234.938</v>
      </c>
    </row>
    <row r="429">
      <c r="A429" t="inlineStr">
        <is>
          <t>2018-11</t>
        </is>
      </c>
      <c r="B429" t="inlineStr">
        <is>
          <t>junio 2018</t>
        </is>
      </c>
      <c r="C429" t="inlineStr">
        <is>
          <t>B</t>
        </is>
      </c>
      <c r="D429" t="n">
        <v>41</v>
      </c>
      <c r="E429" t="n">
        <v>377.468</v>
      </c>
      <c r="F429" t="n">
        <v>244.327</v>
      </c>
    </row>
    <row r="430">
      <c r="A430" t="inlineStr">
        <is>
          <t>2018-11</t>
        </is>
      </c>
      <c r="B430" t="inlineStr">
        <is>
          <t>junio 2018</t>
        </is>
      </c>
      <c r="C430" t="inlineStr">
        <is>
          <t>B</t>
        </is>
      </c>
      <c r="D430" t="n">
        <v>42</v>
      </c>
      <c r="E430" t="n">
        <v>379.348</v>
      </c>
      <c r="F430" t="n">
        <v>244.334</v>
      </c>
    </row>
    <row r="431">
      <c r="A431" t="inlineStr">
        <is>
          <t>2018-11</t>
        </is>
      </c>
      <c r="B431" t="inlineStr">
        <is>
          <t>junio 2018</t>
        </is>
      </c>
      <c r="C431" t="inlineStr">
        <is>
          <t>B</t>
        </is>
      </c>
      <c r="D431" t="n">
        <v>43</v>
      </c>
      <c r="E431" t="n">
        <v>439.725</v>
      </c>
      <c r="F431" t="n">
        <v>245.269</v>
      </c>
    </row>
    <row r="432">
      <c r="A432" t="inlineStr">
        <is>
          <t>2018-11</t>
        </is>
      </c>
      <c r="B432" t="inlineStr">
        <is>
          <t>junio 2018</t>
        </is>
      </c>
      <c r="C432" t="inlineStr">
        <is>
          <t>C</t>
        </is>
      </c>
      <c r="D432" t="n">
        <v>1</v>
      </c>
      <c r="E432" t="n">
        <v>0</v>
      </c>
      <c r="F432" t="n">
        <v>249.175</v>
      </c>
    </row>
    <row r="433">
      <c r="A433" t="inlineStr">
        <is>
          <t>2018-11</t>
        </is>
      </c>
      <c r="B433" t="inlineStr">
        <is>
          <t>junio 2018</t>
        </is>
      </c>
      <c r="C433" t="inlineStr">
        <is>
          <t>C</t>
        </is>
      </c>
      <c r="D433" t="n">
        <v>2</v>
      </c>
      <c r="E433" t="n">
        <v>44.631</v>
      </c>
      <c r="F433" t="n">
        <v>249.106</v>
      </c>
    </row>
    <row r="434">
      <c r="A434" t="inlineStr">
        <is>
          <t>2018-11</t>
        </is>
      </c>
      <c r="B434" t="inlineStr">
        <is>
          <t>junio 2018</t>
        </is>
      </c>
      <c r="C434" t="inlineStr">
        <is>
          <t>C</t>
        </is>
      </c>
      <c r="D434" t="n">
        <v>3</v>
      </c>
      <c r="E434" t="n">
        <v>45.236</v>
      </c>
      <c r="F434" t="n">
        <v>249.076</v>
      </c>
    </row>
    <row r="435">
      <c r="A435" t="inlineStr">
        <is>
          <t>2018-11</t>
        </is>
      </c>
      <c r="B435" t="inlineStr">
        <is>
          <t>junio 2018</t>
        </is>
      </c>
      <c r="C435" t="inlineStr">
        <is>
          <t>C</t>
        </is>
      </c>
      <c r="D435" t="n">
        <v>4</v>
      </c>
      <c r="E435" t="n">
        <v>49.091</v>
      </c>
      <c r="F435" t="n">
        <v>249.048</v>
      </c>
    </row>
    <row r="436">
      <c r="A436" t="inlineStr">
        <is>
          <t>2018-11</t>
        </is>
      </c>
      <c r="B436" t="inlineStr">
        <is>
          <t>junio 2018</t>
        </is>
      </c>
      <c r="C436" t="inlineStr">
        <is>
          <t>C</t>
        </is>
      </c>
      <c r="D436" t="n">
        <v>5</v>
      </c>
      <c r="E436" t="n">
        <v>58.176</v>
      </c>
      <c r="F436" t="n">
        <v>246.078</v>
      </c>
    </row>
    <row r="437">
      <c r="A437" t="inlineStr">
        <is>
          <t>2018-11</t>
        </is>
      </c>
      <c r="B437" t="inlineStr">
        <is>
          <t>junio 2018</t>
        </is>
      </c>
      <c r="C437" t="inlineStr">
        <is>
          <t>C</t>
        </is>
      </c>
      <c r="D437" t="n">
        <v>6</v>
      </c>
      <c r="E437" t="n">
        <v>64.926</v>
      </c>
      <c r="F437" t="n">
        <v>244.262</v>
      </c>
    </row>
    <row r="438">
      <c r="A438" t="inlineStr">
        <is>
          <t>2018-11</t>
        </is>
      </c>
      <c r="B438" t="inlineStr">
        <is>
          <t>junio 2018</t>
        </is>
      </c>
      <c r="C438" t="inlineStr">
        <is>
          <t>C</t>
        </is>
      </c>
      <c r="D438" t="n">
        <v>7</v>
      </c>
      <c r="E438" t="n">
        <v>71.55200000000001</v>
      </c>
      <c r="F438" t="n">
        <v>244.461</v>
      </c>
    </row>
    <row r="439">
      <c r="A439" t="inlineStr">
        <is>
          <t>2018-11</t>
        </is>
      </c>
      <c r="B439" t="inlineStr">
        <is>
          <t>junio 2018</t>
        </is>
      </c>
      <c r="C439" t="inlineStr">
        <is>
          <t>C</t>
        </is>
      </c>
      <c r="D439" t="n">
        <v>8</v>
      </c>
      <c r="E439" t="n">
        <v>93.54600000000001</v>
      </c>
      <c r="F439" t="n">
        <v>244.307</v>
      </c>
    </row>
    <row r="440">
      <c r="A440" t="inlineStr">
        <is>
          <t>2018-11</t>
        </is>
      </c>
      <c r="B440" t="inlineStr">
        <is>
          <t>junio 2018</t>
        </is>
      </c>
      <c r="C440" t="inlineStr">
        <is>
          <t>C</t>
        </is>
      </c>
      <c r="D440" t="n">
        <v>9</v>
      </c>
      <c r="E440" t="n">
        <v>99.218</v>
      </c>
      <c r="F440" t="n">
        <v>243.63</v>
      </c>
    </row>
    <row r="441">
      <c r="A441" t="inlineStr">
        <is>
          <t>2018-11</t>
        </is>
      </c>
      <c r="B441" t="inlineStr">
        <is>
          <t>junio 2018</t>
        </is>
      </c>
      <c r="C441" t="inlineStr">
        <is>
          <t>C</t>
        </is>
      </c>
      <c r="D441" t="n">
        <v>10</v>
      </c>
      <c r="E441" t="n">
        <v>102.243</v>
      </c>
      <c r="F441" t="n">
        <v>243.616</v>
      </c>
    </row>
    <row r="442">
      <c r="A442" t="inlineStr">
        <is>
          <t>2018-11</t>
        </is>
      </c>
      <c r="B442" t="inlineStr">
        <is>
          <t>junio 2018</t>
        </is>
      </c>
      <c r="C442" t="inlineStr">
        <is>
          <t>C</t>
        </is>
      </c>
      <c r="D442" t="n">
        <v>11</v>
      </c>
      <c r="E442" t="n">
        <v>111.854</v>
      </c>
      <c r="F442" t="n">
        <v>243.972</v>
      </c>
    </row>
    <row r="443">
      <c r="A443" t="inlineStr">
        <is>
          <t>2018-11</t>
        </is>
      </c>
      <c r="B443" t="inlineStr">
        <is>
          <t>junio 2018</t>
        </is>
      </c>
      <c r="C443" t="inlineStr">
        <is>
          <t>C</t>
        </is>
      </c>
      <c r="D443" t="n">
        <v>12</v>
      </c>
      <c r="E443" t="n">
        <v>121.44</v>
      </c>
      <c r="F443" t="n">
        <v>245.422</v>
      </c>
    </row>
    <row r="444">
      <c r="A444" t="inlineStr">
        <is>
          <t>2018-11</t>
        </is>
      </c>
      <c r="B444" t="inlineStr">
        <is>
          <t>junio 2018</t>
        </is>
      </c>
      <c r="C444" t="inlineStr">
        <is>
          <t>C</t>
        </is>
      </c>
      <c r="D444" t="n">
        <v>13</v>
      </c>
      <c r="E444" t="n">
        <v>139.991</v>
      </c>
      <c r="F444" t="n">
        <v>247.215</v>
      </c>
    </row>
    <row r="445">
      <c r="A445" t="inlineStr">
        <is>
          <t>2018-11</t>
        </is>
      </c>
      <c r="B445" t="inlineStr">
        <is>
          <t>junio 2018</t>
        </is>
      </c>
      <c r="C445" t="inlineStr">
        <is>
          <t>C</t>
        </is>
      </c>
      <c r="D445" t="n">
        <v>14</v>
      </c>
      <c r="E445" t="n">
        <v>176.532</v>
      </c>
      <c r="F445" t="n">
        <v>244.614</v>
      </c>
    </row>
    <row r="446">
      <c r="A446" t="inlineStr">
        <is>
          <t>2018-11</t>
        </is>
      </c>
      <c r="B446" t="inlineStr">
        <is>
          <t>junio 2018</t>
        </is>
      </c>
      <c r="C446" t="inlineStr">
        <is>
          <t>C</t>
        </is>
      </c>
      <c r="D446" t="n">
        <v>15</v>
      </c>
      <c r="E446" t="n">
        <v>180.728</v>
      </c>
      <c r="F446" t="n">
        <v>243.821</v>
      </c>
    </row>
    <row r="447">
      <c r="A447" t="inlineStr">
        <is>
          <t>2018-11</t>
        </is>
      </c>
      <c r="B447" t="inlineStr">
        <is>
          <t>junio 2018</t>
        </is>
      </c>
      <c r="C447" t="inlineStr">
        <is>
          <t>C</t>
        </is>
      </c>
      <c r="D447" t="n">
        <v>16</v>
      </c>
      <c r="E447" t="n">
        <v>180.912</v>
      </c>
      <c r="F447" t="n">
        <v>244.183</v>
      </c>
    </row>
    <row r="448">
      <c r="A448" t="inlineStr">
        <is>
          <t>2018-11</t>
        </is>
      </c>
      <c r="B448" t="inlineStr">
        <is>
          <t>junio 2018</t>
        </is>
      </c>
      <c r="C448" t="inlineStr">
        <is>
          <t>C</t>
        </is>
      </c>
      <c r="D448" t="n">
        <v>17</v>
      </c>
      <c r="E448" t="n">
        <v>182.188</v>
      </c>
      <c r="F448" t="n">
        <v>244.638</v>
      </c>
    </row>
    <row r="449">
      <c r="A449" t="inlineStr">
        <is>
          <t>2018-11</t>
        </is>
      </c>
      <c r="B449" t="inlineStr">
        <is>
          <t>junio 2018</t>
        </is>
      </c>
      <c r="C449" t="inlineStr">
        <is>
          <t>C</t>
        </is>
      </c>
      <c r="D449" t="n">
        <v>18</v>
      </c>
      <c r="E449" t="n">
        <v>185.337</v>
      </c>
      <c r="F449" t="n">
        <v>246.289</v>
      </c>
    </row>
    <row r="450">
      <c r="A450" t="inlineStr">
        <is>
          <t>2018-11</t>
        </is>
      </c>
      <c r="B450" t="inlineStr">
        <is>
          <t>junio 2018</t>
        </is>
      </c>
      <c r="C450" t="inlineStr">
        <is>
          <t>C</t>
        </is>
      </c>
      <c r="D450" t="n">
        <v>19</v>
      </c>
      <c r="E450" t="n">
        <v>194.002</v>
      </c>
      <c r="F450" t="n">
        <v>246.9</v>
      </c>
    </row>
    <row r="451">
      <c r="A451" t="inlineStr">
        <is>
          <t>2018-11</t>
        </is>
      </c>
      <c r="B451" t="inlineStr">
        <is>
          <t>junio 2018</t>
        </is>
      </c>
      <c r="C451" t="inlineStr">
        <is>
          <t>C</t>
        </is>
      </c>
      <c r="D451" t="n">
        <v>20</v>
      </c>
      <c r="E451" t="n">
        <v>198.666</v>
      </c>
      <c r="F451" t="n">
        <v>248.742</v>
      </c>
    </row>
    <row r="452">
      <c r="A452" t="inlineStr">
        <is>
          <t>2018-11</t>
        </is>
      </c>
      <c r="B452" t="inlineStr">
        <is>
          <t>junio 2018</t>
        </is>
      </c>
      <c r="C452" t="inlineStr">
        <is>
          <t>C</t>
        </is>
      </c>
      <c r="D452" t="n">
        <v>21</v>
      </c>
      <c r="E452" t="n">
        <v>201.232</v>
      </c>
      <c r="F452" t="n">
        <v>248.703</v>
      </c>
    </row>
    <row r="453">
      <c r="A453" t="inlineStr">
        <is>
          <t>2018-11</t>
        </is>
      </c>
      <c r="B453" t="inlineStr">
        <is>
          <t>junio 2018</t>
        </is>
      </c>
      <c r="C453" t="inlineStr">
        <is>
          <t>C</t>
        </is>
      </c>
      <c r="D453" t="n">
        <v>22</v>
      </c>
      <c r="E453" t="n">
        <v>288.377</v>
      </c>
      <c r="F453" t="n">
        <v>248.572</v>
      </c>
    </row>
  </sheetData>
  <autoFilter ref="A1:F4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39" topLeftCell="A40" activePane="bottomLeft" state="frozen"/>
      <selection pane="bottomLeft" activeCell="A1" sqref="A1"/>
    </sheetView>
  </sheetViews>
  <sheetFormatPr baseColWidth="8" defaultRowHeight="15"/>
  <cols>
    <col width="13" customWidth="1" min="1" max="1"/>
    <col width="30" customWidth="1" min="2" max="2"/>
    <col width="16" customWidth="1" min="3" max="3"/>
    <col width="12" customWidth="1" min="4" max="4"/>
  </cols>
  <sheetData>
    <row r="1">
      <c r="A1" s="1" t="inlineStr">
        <is>
          <t>CORTE 1 — sección transversal (geometría de referencia)</t>
        </is>
      </c>
    </row>
    <row r="2">
      <c r="A2" s="4" t="inlineStr">
        <is>
          <t>Idéntica en los planos de 2014 y 2018. Cotas en m.s.n.m., estación en m desde el extremo izquierdo del gráfico.</t>
        </is>
      </c>
    </row>
    <row r="4">
      <c r="A4" s="3" t="inlineStr">
        <is>
          <t>Estacion_m</t>
        </is>
      </c>
      <c r="B4" s="3" t="inlineStr">
        <is>
          <t>Cota_msnm</t>
        </is>
      </c>
    </row>
    <row r="5">
      <c r="A5" s="5" t="n">
        <v>0</v>
      </c>
      <c r="B5" s="5" t="n">
        <v>230.602</v>
      </c>
    </row>
    <row r="6">
      <c r="A6" s="5" t="n">
        <v>43.468</v>
      </c>
      <c r="B6" s="5" t="n">
        <v>232.557</v>
      </c>
    </row>
    <row r="7">
      <c r="A7" s="5" t="n">
        <v>61.808</v>
      </c>
      <c r="B7" s="5" t="n">
        <v>234.373</v>
      </c>
    </row>
    <row r="8">
      <c r="A8" s="5" t="n">
        <v>98.715</v>
      </c>
      <c r="B8" s="5" t="n">
        <v>237.492</v>
      </c>
    </row>
    <row r="9">
      <c r="A9" s="5" t="n">
        <v>119.332</v>
      </c>
      <c r="B9" s="5" t="n">
        <v>239.153</v>
      </c>
    </row>
    <row r="10">
      <c r="A10" s="5" t="n">
        <v>125.28</v>
      </c>
      <c r="B10" s="5" t="n">
        <v>239.716</v>
      </c>
    </row>
    <row r="11">
      <c r="A11" s="5" t="n">
        <v>169.379</v>
      </c>
      <c r="B11" s="5" t="n">
        <v>239.587</v>
      </c>
    </row>
    <row r="12">
      <c r="A12" s="5" t="n">
        <v>172.381</v>
      </c>
      <c r="B12" s="5" t="n">
        <v>239.548</v>
      </c>
    </row>
    <row r="13">
      <c r="A13" s="5" t="n">
        <v>176.531</v>
      </c>
      <c r="B13" s="5" t="n">
        <v>239.542</v>
      </c>
    </row>
    <row r="14">
      <c r="A14" s="5" t="n">
        <v>217.091</v>
      </c>
      <c r="B14" s="5" t="n">
        <v>239.922</v>
      </c>
    </row>
    <row r="15">
      <c r="A15" s="5" t="n">
        <v>237.287</v>
      </c>
      <c r="B15" s="5" t="n">
        <v>227.242</v>
      </c>
    </row>
    <row r="16">
      <c r="A16" s="5" t="n">
        <v>239.522</v>
      </c>
      <c r="B16" s="5" t="n">
        <v>226.007</v>
      </c>
    </row>
    <row r="17">
      <c r="A17" s="5" t="n">
        <v>239.522</v>
      </c>
      <c r="B17" s="5" t="n">
        <v>226.007</v>
      </c>
    </row>
    <row r="18">
      <c r="A18" s="5" t="n">
        <v>243.223</v>
      </c>
      <c r="B18" s="5" t="n">
        <v>225.804</v>
      </c>
    </row>
    <row r="19">
      <c r="A19" s="5" t="n">
        <v>262.412</v>
      </c>
      <c r="B19" s="5" t="n">
        <v>225.695</v>
      </c>
    </row>
    <row r="20">
      <c r="A20" s="5" t="n">
        <v>284.234</v>
      </c>
      <c r="B20" s="5" t="n">
        <v>225.795</v>
      </c>
    </row>
    <row r="21">
      <c r="A21" s="5" t="n">
        <v>298.775</v>
      </c>
      <c r="B21" s="5" t="n">
        <v>225.723</v>
      </c>
    </row>
    <row r="22">
      <c r="A22" s="5" t="n">
        <v>307.354</v>
      </c>
      <c r="B22" s="5" t="n">
        <v>225.836</v>
      </c>
    </row>
    <row r="23">
      <c r="A23" s="5" t="n">
        <v>314.111</v>
      </c>
      <c r="B23" s="5" t="n">
        <v>228.274</v>
      </c>
    </row>
    <row r="24">
      <c r="A24" s="5" t="n">
        <v>327.952</v>
      </c>
      <c r="B24" s="5" t="n">
        <v>228.912</v>
      </c>
    </row>
    <row r="25">
      <c r="A25" s="5" t="n">
        <v>330.656</v>
      </c>
      <c r="B25" s="5" t="n">
        <v>229.787</v>
      </c>
    </row>
    <row r="26">
      <c r="A26" s="5" t="n">
        <v>337.67</v>
      </c>
      <c r="B26" s="5" t="n">
        <v>229.73</v>
      </c>
    </row>
    <row r="27">
      <c r="A27" s="5" t="n">
        <v>355.209</v>
      </c>
      <c r="B27" s="5" t="n">
        <v>229.735</v>
      </c>
    </row>
    <row r="28">
      <c r="A28" s="5" t="n">
        <v>378.405</v>
      </c>
      <c r="B28" s="5" t="n">
        <v>230.435</v>
      </c>
    </row>
    <row r="29">
      <c r="A29" s="5" t="n">
        <v>397.489</v>
      </c>
      <c r="B29" s="5" t="n">
        <v>230.73</v>
      </c>
    </row>
    <row r="30">
      <c r="A30" s="5" t="n">
        <v>398.721</v>
      </c>
      <c r="B30" s="5" t="n">
        <v>230.724</v>
      </c>
    </row>
    <row r="31">
      <c r="A31" s="5" t="n">
        <v>408.809</v>
      </c>
      <c r="B31" s="5" t="n">
        <v>230.99</v>
      </c>
    </row>
    <row r="32">
      <c r="A32" s="5" t="n">
        <v>494.972</v>
      </c>
      <c r="B32" s="5" t="n">
        <v>233.249</v>
      </c>
    </row>
    <row r="33">
      <c r="A33" s="5" t="n">
        <v>513.813</v>
      </c>
      <c r="B33" s="5" t="n">
        <v>236.715</v>
      </c>
    </row>
    <row r="34">
      <c r="A34" s="5" t="n">
        <v>531.922</v>
      </c>
      <c r="B34" s="5" t="n">
        <v>239.46</v>
      </c>
    </row>
    <row r="35">
      <c r="A35" s="5" t="n">
        <v>552.678</v>
      </c>
      <c r="B35" s="5" t="n">
        <v>238.143</v>
      </c>
    </row>
    <row r="36">
      <c r="A36" s="5" t="n">
        <v>625.9400000000001</v>
      </c>
      <c r="B36" s="5" t="n">
        <v>236.538</v>
      </c>
    </row>
    <row r="38">
      <c r="A38" s="6" t="inlineStr">
        <is>
          <t>Capacidad a niveles del lago</t>
        </is>
      </c>
    </row>
    <row r="39">
      <c r="A39" s="3" t="inlineStr">
        <is>
          <t>Nivel_msnm</t>
        </is>
      </c>
      <c r="B39" s="3" t="inlineStr">
        <is>
          <t>Referencia</t>
        </is>
      </c>
      <c r="C39" s="3" t="inlineStr">
        <is>
          <t>Area_mojada_m2</t>
        </is>
      </c>
      <c r="D39" s="3" t="inlineStr">
        <is>
          <t>Ancho_m</t>
        </is>
      </c>
    </row>
    <row r="40">
      <c r="A40" t="n">
        <v>230</v>
      </c>
      <c r="B40" t="inlineStr">
        <is>
          <t>minimo historico citado</t>
        </is>
      </c>
      <c r="C40" t="n">
        <v>349.73</v>
      </c>
      <c r="D40" t="n">
        <v>131.1</v>
      </c>
    </row>
    <row r="41">
      <c r="A41" t="n">
        <v>231</v>
      </c>
      <c r="B41" t="inlineStr">
        <is>
          <t>cota minima provisional 3TA</t>
        </is>
      </c>
      <c r="C41" t="n">
        <v>504.41</v>
      </c>
      <c r="D41" t="n">
        <v>186.74</v>
      </c>
    </row>
    <row r="42">
      <c r="A42" t="n">
        <v>243</v>
      </c>
      <c r="B42" t="inlineStr">
        <is>
          <t>maximo normal aproximado</t>
        </is>
      </c>
      <c r="C42" t="n">
        <v>5773.81</v>
      </c>
      <c r="D42" t="n">
        <v>625.9400000000001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41"/>
  <sheetViews>
    <sheetView workbookViewId="0">
      <pane ySplit="38" topLeftCell="A39" activePane="bottomLeft" state="frozen"/>
      <selection pane="bottomLeft" activeCell="A1" sqref="A1"/>
    </sheetView>
  </sheetViews>
  <sheetFormatPr baseColWidth="8" defaultRowHeight="15"/>
  <cols>
    <col width="13" customWidth="1" min="1" max="1"/>
    <col width="30" customWidth="1" min="2" max="2"/>
    <col width="16" customWidth="1" min="3" max="3"/>
    <col width="12" customWidth="1" min="4" max="4"/>
  </cols>
  <sheetData>
    <row r="1">
      <c r="A1" s="1" t="inlineStr">
        <is>
          <t>CORTE 2 — sección transversal (geometría de referencia)</t>
        </is>
      </c>
    </row>
    <row r="2">
      <c r="A2" s="4" t="inlineStr">
        <is>
          <t>Idéntica en los planos de 2014 y 2018. Cotas en m.s.n.m., estación en m desde el extremo izquierdo del gráfico.</t>
        </is>
      </c>
    </row>
    <row r="4">
      <c r="A4" s="3" t="inlineStr">
        <is>
          <t>Estacion_m</t>
        </is>
      </c>
      <c r="B4" s="3" t="inlineStr">
        <is>
          <t>Cota_msnm</t>
        </is>
      </c>
    </row>
    <row r="5">
      <c r="A5" s="5" t="n">
        <v>0</v>
      </c>
      <c r="B5" s="5" t="n">
        <v>242.912</v>
      </c>
    </row>
    <row r="6">
      <c r="A6" s="5" t="n">
        <v>5.761</v>
      </c>
      <c r="B6" s="5" t="n">
        <v>242.802</v>
      </c>
    </row>
    <row r="7">
      <c r="A7" s="5" t="n">
        <v>41.048</v>
      </c>
      <c r="B7" s="5" t="n">
        <v>243.058</v>
      </c>
    </row>
    <row r="8">
      <c r="A8" s="5" t="n">
        <v>49.825</v>
      </c>
      <c r="B8" s="5" t="n">
        <v>243.052</v>
      </c>
    </row>
    <row r="9">
      <c r="A9" s="5" t="n">
        <v>81.751</v>
      </c>
      <c r="B9" s="5" t="n">
        <v>243.003</v>
      </c>
    </row>
    <row r="10">
      <c r="A10" s="5" t="n">
        <v>93.726</v>
      </c>
      <c r="B10" s="5" t="n">
        <v>242.999</v>
      </c>
    </row>
    <row r="11">
      <c r="A11" s="5" t="n">
        <v>102.683</v>
      </c>
      <c r="B11" s="5" t="n">
        <v>243.229</v>
      </c>
    </row>
    <row r="12">
      <c r="A12" s="5" t="n">
        <v>111.618</v>
      </c>
      <c r="B12" s="5" t="n">
        <v>243.256</v>
      </c>
    </row>
    <row r="13">
      <c r="A13" s="5" t="n">
        <v>127.593</v>
      </c>
      <c r="B13" s="5" t="n">
        <v>243.354</v>
      </c>
    </row>
    <row r="14">
      <c r="A14" s="5" t="n">
        <v>144.763</v>
      </c>
      <c r="B14" s="5" t="n">
        <v>243.5</v>
      </c>
    </row>
    <row r="15">
      <c r="A15" s="5" t="n">
        <v>151.981</v>
      </c>
      <c r="B15" s="5" t="n">
        <v>243.509</v>
      </c>
    </row>
    <row r="16">
      <c r="A16" s="5" t="n">
        <v>170.522</v>
      </c>
      <c r="B16" s="5" t="n">
        <v>243.448</v>
      </c>
    </row>
    <row r="17">
      <c r="A17" s="5" t="n">
        <v>175.647</v>
      </c>
      <c r="B17" s="5" t="n">
        <v>239.8</v>
      </c>
    </row>
    <row r="18">
      <c r="A18" s="5" t="n">
        <v>178.131</v>
      </c>
      <c r="B18" s="5" t="n">
        <v>236.807</v>
      </c>
    </row>
    <row r="19">
      <c r="A19" s="5" t="n">
        <v>210.65</v>
      </c>
      <c r="B19" s="5" t="n">
        <v>236.621</v>
      </c>
    </row>
    <row r="20">
      <c r="A20" s="5" t="n">
        <v>233.941</v>
      </c>
      <c r="B20" s="5" t="n">
        <v>236.801</v>
      </c>
    </row>
    <row r="21">
      <c r="A21" s="5" t="n">
        <v>238.493</v>
      </c>
      <c r="B21" s="5" t="n">
        <v>236.304</v>
      </c>
    </row>
    <row r="22">
      <c r="A22" s="5" t="n">
        <v>240.689</v>
      </c>
      <c r="B22" s="5" t="n">
        <v>235.886</v>
      </c>
    </row>
    <row r="23">
      <c r="A23" s="5" t="n">
        <v>243.419</v>
      </c>
      <c r="B23" s="5" t="n">
        <v>235.447</v>
      </c>
    </row>
    <row r="24">
      <c r="A24" s="5" t="n">
        <v>253.595</v>
      </c>
      <c r="B24" s="5" t="n">
        <v>232.935</v>
      </c>
    </row>
    <row r="25">
      <c r="A25" s="5" t="n">
        <v>281.278</v>
      </c>
      <c r="B25" s="5" t="n">
        <v>231.346</v>
      </c>
    </row>
    <row r="26">
      <c r="A26" s="5" t="n">
        <v>281.278</v>
      </c>
      <c r="B26" s="5" t="n">
        <v>231.346</v>
      </c>
    </row>
    <row r="27">
      <c r="A27" s="5" t="n">
        <v>290.972</v>
      </c>
      <c r="B27" s="5" t="n">
        <v>231.54</v>
      </c>
    </row>
    <row r="28">
      <c r="A28" s="5" t="n">
        <v>297.766</v>
      </c>
      <c r="B28" s="5" t="n">
        <v>232.262</v>
      </c>
    </row>
    <row r="29">
      <c r="A29" s="5" t="n">
        <v>301.867</v>
      </c>
      <c r="B29" s="5" t="n">
        <v>238.27</v>
      </c>
    </row>
    <row r="30">
      <c r="A30" s="5" t="n">
        <v>306.496</v>
      </c>
      <c r="B30" s="5" t="n">
        <v>243.827</v>
      </c>
    </row>
    <row r="31">
      <c r="A31" s="5" t="n">
        <v>316.251</v>
      </c>
      <c r="B31" s="5" t="n">
        <v>243.776</v>
      </c>
    </row>
    <row r="32">
      <c r="A32" s="5" t="n">
        <v>321.884</v>
      </c>
      <c r="B32" s="5" t="n">
        <v>243.663</v>
      </c>
    </row>
    <row r="33">
      <c r="A33" s="5" t="n">
        <v>364.198</v>
      </c>
      <c r="B33" s="5" t="n">
        <v>243.3</v>
      </c>
    </row>
    <row r="34">
      <c r="A34" s="5" t="n">
        <v>377.82</v>
      </c>
      <c r="B34" s="5" t="n">
        <v>243.148</v>
      </c>
    </row>
    <row r="35">
      <c r="A35" s="5" t="n">
        <v>382.947</v>
      </c>
      <c r="B35" s="5" t="n">
        <v>243.187</v>
      </c>
    </row>
    <row r="37">
      <c r="A37" s="6" t="inlineStr">
        <is>
          <t>Capacidad a niveles del lago</t>
        </is>
      </c>
    </row>
    <row r="38">
      <c r="A38" s="3" t="inlineStr">
        <is>
          <t>Nivel_msnm</t>
        </is>
      </c>
      <c r="B38" s="3" t="inlineStr">
        <is>
          <t>Referencia</t>
        </is>
      </c>
      <c r="C38" s="3" t="inlineStr">
        <is>
          <t>Area_mojada_m2</t>
        </is>
      </c>
      <c r="D38" s="3" t="inlineStr">
        <is>
          <t>Ancho_m</t>
        </is>
      </c>
    </row>
    <row r="39">
      <c r="A39" t="n">
        <v>230</v>
      </c>
      <c r="B39" t="inlineStr">
        <is>
          <t>minimo historico citado</t>
        </is>
      </c>
      <c r="C39" t="n">
        <v>0</v>
      </c>
      <c r="D39" t="n">
        <v>0</v>
      </c>
    </row>
    <row r="40">
      <c r="A40" t="n">
        <v>231</v>
      </c>
      <c r="B40" t="inlineStr">
        <is>
          <t>cota minima provisional 3TA</t>
        </is>
      </c>
      <c r="C40" t="n">
        <v>0</v>
      </c>
      <c r="D40" t="n">
        <v>0</v>
      </c>
    </row>
    <row r="41">
      <c r="A41" t="n">
        <v>243</v>
      </c>
      <c r="B41" t="inlineStr">
        <is>
          <t>maximo normal aproximado</t>
        </is>
      </c>
      <c r="C41" t="n">
        <v>1056.55</v>
      </c>
      <c r="D41" t="n">
        <v>170.74</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49"/>
  <sheetViews>
    <sheetView workbookViewId="0">
      <pane ySplit="46" topLeftCell="A47" activePane="bottomLeft" state="frozen"/>
      <selection pane="bottomLeft" activeCell="A1" sqref="A1"/>
    </sheetView>
  </sheetViews>
  <sheetFormatPr baseColWidth="8" defaultRowHeight="15"/>
  <cols>
    <col width="13" customWidth="1" min="1" max="1"/>
    <col width="30" customWidth="1" min="2" max="2"/>
    <col width="16" customWidth="1" min="3" max="3"/>
    <col width="12" customWidth="1" min="4" max="4"/>
  </cols>
  <sheetData>
    <row r="1">
      <c r="A1" s="1" t="inlineStr">
        <is>
          <t>CORTE 3 — sección transversal (geometría de referencia)</t>
        </is>
      </c>
    </row>
    <row r="2">
      <c r="A2" s="4" t="inlineStr">
        <is>
          <t>Idéntica en los planos de 2014 y 2018. Cotas en m.s.n.m., estación en m desde el extremo izquierdo del gráfico.</t>
        </is>
      </c>
    </row>
    <row r="4">
      <c r="A4" s="3" t="inlineStr">
        <is>
          <t>Estacion_m</t>
        </is>
      </c>
      <c r="B4" s="3" t="inlineStr">
        <is>
          <t>Cota_msnm</t>
        </is>
      </c>
    </row>
    <row r="5">
      <c r="A5" s="5" t="n">
        <v>0</v>
      </c>
      <c r="B5" s="5" t="n">
        <v>243.829</v>
      </c>
    </row>
    <row r="6">
      <c r="A6" s="5" t="n">
        <v>37.381</v>
      </c>
      <c r="B6" s="5" t="n">
        <v>243.943</v>
      </c>
    </row>
    <row r="7">
      <c r="A7" s="5" t="n">
        <v>44.866</v>
      </c>
      <c r="B7" s="5" t="n">
        <v>243.929</v>
      </c>
    </row>
    <row r="8">
      <c r="A8" s="5" t="n">
        <v>58.08</v>
      </c>
      <c r="B8" s="5" t="n">
        <v>244.039</v>
      </c>
    </row>
    <row r="9">
      <c r="A9" s="5" t="n">
        <v>62.136</v>
      </c>
      <c r="B9" s="5" t="n">
        <v>244.066</v>
      </c>
    </row>
    <row r="10">
      <c r="A10" s="5" t="n">
        <v>68.384</v>
      </c>
      <c r="B10" s="5" t="n">
        <v>244.172</v>
      </c>
    </row>
    <row r="11">
      <c r="A11" s="5" t="n">
        <v>80.508</v>
      </c>
      <c r="B11" s="5" t="n">
        <v>237.455</v>
      </c>
    </row>
    <row r="12">
      <c r="A12" s="5" t="n">
        <v>80.71299999999999</v>
      </c>
      <c r="B12" s="5" t="n">
        <v>237.364</v>
      </c>
    </row>
    <row r="13">
      <c r="A13" s="5" t="n">
        <v>80.795</v>
      </c>
      <c r="B13" s="5" t="n">
        <v>237.362</v>
      </c>
    </row>
    <row r="14">
      <c r="A14" s="5" t="n">
        <v>93.669</v>
      </c>
      <c r="B14" s="5" t="n">
        <v>235.386</v>
      </c>
    </row>
    <row r="15">
      <c r="A15" s="5" t="n">
        <v>101.793</v>
      </c>
      <c r="B15" s="5" t="n">
        <v>235.347</v>
      </c>
    </row>
    <row r="16">
      <c r="A16" s="5" t="n">
        <v>103.237</v>
      </c>
      <c r="B16" s="5" t="n">
        <v>235.345</v>
      </c>
    </row>
    <row r="17">
      <c r="A17" s="5" t="n">
        <v>103.633</v>
      </c>
      <c r="B17" s="5" t="n">
        <v>235.346</v>
      </c>
    </row>
    <row r="18">
      <c r="A18" s="5" t="n">
        <v>105.33</v>
      </c>
      <c r="B18" s="5" t="n">
        <v>235.389</v>
      </c>
    </row>
    <row r="19">
      <c r="A19" s="5" t="n">
        <v>107.163</v>
      </c>
      <c r="B19" s="5" t="n">
        <v>235.591</v>
      </c>
    </row>
    <row r="20">
      <c r="A20" s="5" t="n">
        <v>168.041</v>
      </c>
      <c r="B20" s="5" t="n">
        <v>239.015</v>
      </c>
    </row>
    <row r="21">
      <c r="A21" s="5" t="n">
        <v>177.218</v>
      </c>
      <c r="B21" s="5" t="n">
        <v>238.656</v>
      </c>
    </row>
    <row r="22">
      <c r="A22" s="5" t="n">
        <v>179.96</v>
      </c>
      <c r="B22" s="5" t="n">
        <v>238.52</v>
      </c>
    </row>
    <row r="23">
      <c r="A23" s="5" t="n">
        <v>197.164</v>
      </c>
      <c r="B23" s="5" t="n">
        <v>237.746</v>
      </c>
    </row>
    <row r="24">
      <c r="A24" s="5" t="n">
        <v>226.108</v>
      </c>
      <c r="B24" s="5" t="n">
        <v>236.456</v>
      </c>
    </row>
    <row r="25">
      <c r="A25" s="5" t="n">
        <v>229.219</v>
      </c>
      <c r="B25" s="5" t="n">
        <v>236.18</v>
      </c>
    </row>
    <row r="26">
      <c r="A26" s="5" t="n">
        <v>246.138</v>
      </c>
      <c r="B26" s="5" t="n">
        <v>239.124</v>
      </c>
    </row>
    <row r="27">
      <c r="A27" s="5" t="n">
        <v>247.325</v>
      </c>
      <c r="B27" s="5" t="n">
        <v>239.125</v>
      </c>
    </row>
    <row r="28">
      <c r="A28" s="5" t="n">
        <v>259.042</v>
      </c>
      <c r="B28" s="5" t="n">
        <v>238.774</v>
      </c>
    </row>
    <row r="29">
      <c r="A29" s="5" t="n">
        <v>267.304</v>
      </c>
      <c r="B29" s="5" t="n">
        <v>238.877</v>
      </c>
    </row>
    <row r="30">
      <c r="A30" s="5" t="n">
        <v>321.107</v>
      </c>
      <c r="B30" s="5" t="n">
        <v>235.472</v>
      </c>
    </row>
    <row r="31">
      <c r="A31" s="5" t="n">
        <v>355.879</v>
      </c>
      <c r="B31" s="5" t="n">
        <v>235.19</v>
      </c>
    </row>
    <row r="32">
      <c r="A32" s="5" t="n">
        <v>366.264</v>
      </c>
      <c r="B32" s="5" t="n">
        <v>235.33</v>
      </c>
    </row>
    <row r="33">
      <c r="A33" s="5" t="n">
        <v>372.724</v>
      </c>
      <c r="B33" s="5" t="n">
        <v>235.882</v>
      </c>
    </row>
    <row r="34">
      <c r="A34" s="5" t="n">
        <v>381.567</v>
      </c>
      <c r="B34" s="5" t="n">
        <v>235.063</v>
      </c>
    </row>
    <row r="35">
      <c r="A35" s="5" t="n">
        <v>392.522</v>
      </c>
      <c r="B35" s="5" t="n">
        <v>239.437</v>
      </c>
    </row>
    <row r="36">
      <c r="A36" s="5" t="n">
        <v>394.438</v>
      </c>
      <c r="B36" s="5" t="n">
        <v>239.926</v>
      </c>
    </row>
    <row r="37">
      <c r="A37" s="5" t="n">
        <v>399.8</v>
      </c>
      <c r="B37" s="5" t="n">
        <v>244.843</v>
      </c>
    </row>
    <row r="38">
      <c r="A38" s="5" t="n">
        <v>399.836</v>
      </c>
      <c r="B38" s="5" t="n">
        <v>244.867</v>
      </c>
    </row>
    <row r="39">
      <c r="A39" s="5" t="n">
        <v>399.842</v>
      </c>
      <c r="B39" s="5" t="n">
        <v>244.868</v>
      </c>
    </row>
    <row r="40">
      <c r="A40" s="5" t="n">
        <v>400.876</v>
      </c>
      <c r="B40" s="5" t="n">
        <v>243.774</v>
      </c>
    </row>
    <row r="41">
      <c r="A41" s="5" t="n">
        <v>406.75</v>
      </c>
      <c r="B41" s="5" t="n">
        <v>243.155</v>
      </c>
    </row>
    <row r="42">
      <c r="A42" s="5" t="n">
        <v>417.206</v>
      </c>
      <c r="B42" s="5" t="n">
        <v>245.127</v>
      </c>
    </row>
    <row r="43">
      <c r="A43" s="5" t="n">
        <v>436.343</v>
      </c>
      <c r="B43" s="5" t="n">
        <v>245.239</v>
      </c>
    </row>
    <row r="45">
      <c r="A45" s="6" t="inlineStr">
        <is>
          <t>Capacidad a niveles del lago</t>
        </is>
      </c>
    </row>
    <row r="46">
      <c r="A46" s="3" t="inlineStr">
        <is>
          <t>Nivel_msnm</t>
        </is>
      </c>
      <c r="B46" s="3" t="inlineStr">
        <is>
          <t>Referencia</t>
        </is>
      </c>
      <c r="C46" s="3" t="inlineStr">
        <is>
          <t>Area_mojada_m2</t>
        </is>
      </c>
      <c r="D46" s="3" t="inlineStr">
        <is>
          <t>Ancho_m</t>
        </is>
      </c>
    </row>
    <row r="47">
      <c r="A47" t="n">
        <v>230</v>
      </c>
      <c r="B47" t="inlineStr">
        <is>
          <t>minimo historico citado</t>
        </is>
      </c>
      <c r="C47" t="n">
        <v>0</v>
      </c>
      <c r="D47" t="n">
        <v>0</v>
      </c>
    </row>
    <row r="48">
      <c r="A48" t="n">
        <v>231</v>
      </c>
      <c r="B48" t="inlineStr">
        <is>
          <t>cota minima provisional 3TA</t>
        </is>
      </c>
      <c r="C48" t="n">
        <v>0</v>
      </c>
      <c r="D48" t="n">
        <v>0</v>
      </c>
    </row>
    <row r="49">
      <c r="A49" t="n">
        <v>243</v>
      </c>
      <c r="B49" t="inlineStr">
        <is>
          <t>maximo normal aproximado</t>
        </is>
      </c>
      <c r="C49" t="n">
        <v>1916.21</v>
      </c>
      <c r="D49" t="n">
        <v>327.29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32"/>
  <sheetViews>
    <sheetView workbookViewId="0">
      <pane ySplit="29" topLeftCell="A30" activePane="bottomLeft" state="frozen"/>
      <selection pane="bottomLeft" activeCell="A1" sqref="A1"/>
    </sheetView>
  </sheetViews>
  <sheetFormatPr baseColWidth="8" defaultRowHeight="15"/>
  <cols>
    <col width="13" customWidth="1" min="1" max="1"/>
    <col width="30" customWidth="1" min="2" max="2"/>
    <col width="16" customWidth="1" min="3" max="3"/>
    <col width="12" customWidth="1" min="4" max="4"/>
  </cols>
  <sheetData>
    <row r="1">
      <c r="A1" s="1" t="inlineStr">
        <is>
          <t>CORTE 4 — sección transversal (geometría de referencia)</t>
        </is>
      </c>
    </row>
    <row r="2">
      <c r="A2" s="4" t="inlineStr">
        <is>
          <t>Idéntica en los planos de 2014 y 2018. Cotas en m.s.n.m., estación en m desde el extremo izquierdo del gráfico.</t>
        </is>
      </c>
    </row>
    <row r="4">
      <c r="A4" s="3" t="inlineStr">
        <is>
          <t>Estacion_m</t>
        </is>
      </c>
      <c r="B4" s="3" t="inlineStr">
        <is>
          <t>Cota_msnm</t>
        </is>
      </c>
    </row>
    <row r="5">
      <c r="A5" s="5" t="n">
        <v>0</v>
      </c>
      <c r="B5" s="5" t="n">
        <v>246.529</v>
      </c>
    </row>
    <row r="6">
      <c r="A6" s="5" t="n">
        <v>15.423</v>
      </c>
      <c r="B6" s="5" t="n">
        <v>246.476</v>
      </c>
    </row>
    <row r="7">
      <c r="A7" s="5" t="n">
        <v>16.735</v>
      </c>
      <c r="B7" s="5" t="n">
        <v>246.471</v>
      </c>
    </row>
    <row r="8">
      <c r="A8" s="5" t="n">
        <v>31.231</v>
      </c>
      <c r="B8" s="5" t="n">
        <v>246.356</v>
      </c>
    </row>
    <row r="9">
      <c r="A9" s="5" t="n">
        <v>48.293</v>
      </c>
      <c r="B9" s="5" t="n">
        <v>246.242</v>
      </c>
    </row>
    <row r="10">
      <c r="A10" s="5" t="n">
        <v>53.266</v>
      </c>
      <c r="B10" s="5" t="n">
        <v>243.723</v>
      </c>
    </row>
    <row r="11">
      <c r="A11" s="5" t="n">
        <v>58.807</v>
      </c>
      <c r="B11" s="5" t="n">
        <v>239.81</v>
      </c>
    </row>
    <row r="12">
      <c r="A12" s="5" t="n">
        <v>72.89700000000001</v>
      </c>
      <c r="B12" s="5" t="n">
        <v>239.93</v>
      </c>
    </row>
    <row r="13">
      <c r="A13" s="5" t="n">
        <v>76.11799999999999</v>
      </c>
      <c r="B13" s="5" t="n">
        <v>239.9</v>
      </c>
    </row>
    <row r="14">
      <c r="A14" s="5" t="n">
        <v>77.251</v>
      </c>
      <c r="B14" s="5" t="n">
        <v>239.886</v>
      </c>
    </row>
    <row r="15">
      <c r="A15" s="5" t="n">
        <v>77.854</v>
      </c>
      <c r="B15" s="5" t="n">
        <v>240.409</v>
      </c>
    </row>
    <row r="16">
      <c r="A16" s="5" t="n">
        <v>90.66200000000001</v>
      </c>
      <c r="B16" s="5" t="n">
        <v>242.377</v>
      </c>
    </row>
    <row r="17">
      <c r="A17" s="5" t="n">
        <v>129.297</v>
      </c>
      <c r="B17" s="5" t="n">
        <v>242.212</v>
      </c>
    </row>
    <row r="18">
      <c r="A18" s="5" t="n">
        <v>133.772</v>
      </c>
      <c r="B18" s="5" t="n">
        <v>242.212</v>
      </c>
    </row>
    <row r="19">
      <c r="A19" s="5" t="n">
        <v>134.13</v>
      </c>
      <c r="B19" s="5" t="n">
        <v>242.312</v>
      </c>
    </row>
    <row r="20">
      <c r="A20" s="5" t="n">
        <v>138.381</v>
      </c>
      <c r="B20" s="5" t="n">
        <v>242.614</v>
      </c>
    </row>
    <row r="21">
      <c r="A21" s="5" t="n">
        <v>151.721</v>
      </c>
      <c r="B21" s="5" t="n">
        <v>243.802</v>
      </c>
    </row>
    <row r="22">
      <c r="A22" s="5" t="n">
        <v>159.353</v>
      </c>
      <c r="B22" s="5" t="n">
        <v>243.128</v>
      </c>
    </row>
    <row r="23">
      <c r="A23" s="5" t="n">
        <v>159.371</v>
      </c>
      <c r="B23" s="5" t="n">
        <v>243.149</v>
      </c>
    </row>
    <row r="24">
      <c r="A24" s="5" t="n">
        <v>160.836</v>
      </c>
      <c r="B24" s="5" t="n">
        <v>245.785</v>
      </c>
    </row>
    <row r="25">
      <c r="A25" s="5" t="n">
        <v>170.091</v>
      </c>
      <c r="B25" s="5" t="n">
        <v>245.417</v>
      </c>
    </row>
    <row r="26">
      <c r="A26" s="5" t="n">
        <v>205.055</v>
      </c>
      <c r="B26" s="5" t="n">
        <v>245.963</v>
      </c>
    </row>
    <row r="28">
      <c r="A28" s="6" t="inlineStr">
        <is>
          <t>Capacidad a niveles del lago</t>
        </is>
      </c>
    </row>
    <row r="29">
      <c r="A29" s="3" t="inlineStr">
        <is>
          <t>Nivel_msnm</t>
        </is>
      </c>
      <c r="B29" s="3" t="inlineStr">
        <is>
          <t>Referencia</t>
        </is>
      </c>
      <c r="C29" s="3" t="inlineStr">
        <is>
          <t>Area_mojada_m2</t>
        </is>
      </c>
      <c r="D29" s="3" t="inlineStr">
        <is>
          <t>Ancho_m</t>
        </is>
      </c>
    </row>
    <row r="30">
      <c r="A30" t="n">
        <v>230</v>
      </c>
      <c r="B30" t="inlineStr">
        <is>
          <t>minimo historico citado</t>
        </is>
      </c>
      <c r="C30" t="n">
        <v>0</v>
      </c>
      <c r="D30" t="n">
        <v>0</v>
      </c>
    </row>
    <row r="31">
      <c r="A31" t="n">
        <v>231</v>
      </c>
      <c r="B31" t="inlineStr">
        <is>
          <t>cota minima provisional 3TA</t>
        </is>
      </c>
      <c r="C31" t="n">
        <v>0</v>
      </c>
      <c r="D31" t="n">
        <v>0</v>
      </c>
    </row>
    <row r="32">
      <c r="A32" t="n">
        <v>243</v>
      </c>
      <c r="B32" t="inlineStr">
        <is>
          <t>maximo normal aproximado</t>
        </is>
      </c>
      <c r="C32" t="n">
        <v>121.23</v>
      </c>
      <c r="D32" t="n">
        <v>88.43000000000001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47"/>
  <sheetViews>
    <sheetView workbookViewId="0">
      <pane ySplit="44" topLeftCell="A45" activePane="bottomLeft" state="frozen"/>
      <selection pane="bottomLeft" activeCell="A1" sqref="A1"/>
    </sheetView>
  </sheetViews>
  <sheetFormatPr baseColWidth="8" defaultRowHeight="15"/>
  <cols>
    <col width="13" customWidth="1" min="1" max="1"/>
    <col width="30" customWidth="1" min="2" max="2"/>
    <col width="16" customWidth="1" min="3" max="3"/>
    <col width="12" customWidth="1" min="4" max="4"/>
  </cols>
  <sheetData>
    <row r="1">
      <c r="A1" s="1" t="inlineStr">
        <is>
          <t>CORTE A — sección transversal (geometría de referencia)</t>
        </is>
      </c>
    </row>
    <row r="2">
      <c r="A2" s="4" t="inlineStr">
        <is>
          <t>Idéntica en los planos de 2014 y 2018. Cotas en m.s.n.m., estación en m desde el extremo izquierdo del gráfico.</t>
        </is>
      </c>
    </row>
    <row r="4">
      <c r="A4" s="3" t="inlineStr">
        <is>
          <t>Estacion_m</t>
        </is>
      </c>
      <c r="B4" s="3" t="inlineStr">
        <is>
          <t>Cota_msnm</t>
        </is>
      </c>
    </row>
    <row r="5">
      <c r="A5" s="5" t="n">
        <v>0</v>
      </c>
      <c r="B5" s="5" t="n">
        <v>233.304</v>
      </c>
    </row>
    <row r="6">
      <c r="A6" s="5" t="n">
        <v>48.177</v>
      </c>
      <c r="B6" s="5" t="n">
        <v>234.155</v>
      </c>
    </row>
    <row r="7">
      <c r="A7" s="5" t="n">
        <v>71.024</v>
      </c>
      <c r="B7" s="5" t="n">
        <v>234.915</v>
      </c>
    </row>
    <row r="8">
      <c r="A8" s="5" t="n">
        <v>107.894</v>
      </c>
      <c r="B8" s="5" t="n">
        <v>236.443</v>
      </c>
    </row>
    <row r="9">
      <c r="A9" s="5" t="n">
        <v>152.756</v>
      </c>
      <c r="B9" s="5" t="n">
        <v>238.167</v>
      </c>
    </row>
    <row r="10">
      <c r="A10" s="5" t="n">
        <v>165.168</v>
      </c>
      <c r="B10" s="5" t="n">
        <v>238.75</v>
      </c>
    </row>
    <row r="11">
      <c r="A11" s="5" t="n">
        <v>175.995</v>
      </c>
      <c r="B11" s="5" t="n">
        <v>238.812</v>
      </c>
    </row>
    <row r="12">
      <c r="A12" s="5" t="n">
        <v>207.495</v>
      </c>
      <c r="B12" s="5" t="n">
        <v>239.109</v>
      </c>
    </row>
    <row r="13">
      <c r="A13" s="5" t="n">
        <v>224.654</v>
      </c>
      <c r="B13" s="5" t="n">
        <v>239.322</v>
      </c>
    </row>
    <row r="14">
      <c r="A14" s="5" t="n">
        <v>289.787</v>
      </c>
      <c r="B14" s="5" t="n">
        <v>240.489</v>
      </c>
    </row>
    <row r="15">
      <c r="A15" s="5" t="n">
        <v>300.497</v>
      </c>
      <c r="B15" s="5" t="n">
        <v>240.613</v>
      </c>
    </row>
    <row r="16">
      <c r="A16" s="5" t="n">
        <v>305.952</v>
      </c>
      <c r="B16" s="5" t="n">
        <v>240.628</v>
      </c>
    </row>
    <row r="17">
      <c r="A17" s="5" t="n">
        <v>310.727</v>
      </c>
      <c r="B17" s="5" t="n">
        <v>236.502</v>
      </c>
    </row>
    <row r="18">
      <c r="A18" s="5" t="n">
        <v>318.841</v>
      </c>
      <c r="B18" s="5" t="n">
        <v>227.717</v>
      </c>
    </row>
    <row r="19">
      <c r="A19" s="5" t="n">
        <v>322.26</v>
      </c>
      <c r="B19" s="5" t="n">
        <v>227.328</v>
      </c>
    </row>
    <row r="20">
      <c r="A20" s="5" t="n">
        <v>328.357</v>
      </c>
      <c r="B20" s="5" t="n">
        <v>227.719</v>
      </c>
    </row>
    <row r="21">
      <c r="A21" s="5" t="n">
        <v>334.927</v>
      </c>
      <c r="B21" s="5" t="n">
        <v>227.84</v>
      </c>
    </row>
    <row r="22">
      <c r="A22" s="5" t="n">
        <v>340.906</v>
      </c>
      <c r="B22" s="5" t="n">
        <v>227.623</v>
      </c>
    </row>
    <row r="23">
      <c r="A23" s="5" t="n">
        <v>355.966</v>
      </c>
      <c r="B23" s="5" t="n">
        <v>227.209</v>
      </c>
    </row>
    <row r="24">
      <c r="A24" s="5" t="n">
        <v>365.57</v>
      </c>
      <c r="B24" s="5" t="n">
        <v>228.354</v>
      </c>
    </row>
    <row r="25">
      <c r="A25" s="5" t="n">
        <v>368.08</v>
      </c>
      <c r="B25" s="5" t="n">
        <v>228.711</v>
      </c>
    </row>
    <row r="26">
      <c r="A26" s="5" t="n">
        <v>368.9</v>
      </c>
      <c r="B26" s="5" t="n">
        <v>228.718</v>
      </c>
    </row>
    <row r="27">
      <c r="A27" s="5" t="n">
        <v>383.941</v>
      </c>
      <c r="B27" s="5" t="n">
        <v>228.623</v>
      </c>
    </row>
    <row r="28">
      <c r="A28" s="5" t="n">
        <v>407.854</v>
      </c>
      <c r="B28" s="5" t="n">
        <v>230.014</v>
      </c>
    </row>
    <row r="29">
      <c r="A29" s="5" t="n">
        <v>415.826</v>
      </c>
      <c r="B29" s="5" t="n">
        <v>231.029</v>
      </c>
    </row>
    <row r="30">
      <c r="A30" s="5" t="n">
        <v>431.805</v>
      </c>
      <c r="B30" s="5" t="n">
        <v>230.956</v>
      </c>
    </row>
    <row r="31">
      <c r="A31" s="5" t="n">
        <v>448.665</v>
      </c>
      <c r="B31" s="5" t="n">
        <v>230.692</v>
      </c>
    </row>
    <row r="32">
      <c r="A32" s="5" t="n">
        <v>460.69</v>
      </c>
      <c r="B32" s="5" t="n">
        <v>230.6</v>
      </c>
    </row>
    <row r="33">
      <c r="A33" s="5" t="n">
        <v>473.235</v>
      </c>
      <c r="B33" s="5" t="n">
        <v>230.693</v>
      </c>
    </row>
    <row r="34">
      <c r="A34" s="5" t="n">
        <v>491.099</v>
      </c>
      <c r="B34" s="5" t="n">
        <v>231.321</v>
      </c>
    </row>
    <row r="35">
      <c r="A35" s="5" t="n">
        <v>505.923</v>
      </c>
      <c r="B35" s="5" t="n">
        <v>231.76</v>
      </c>
    </row>
    <row r="36">
      <c r="A36" s="5" t="n">
        <v>560.819</v>
      </c>
      <c r="B36" s="5" t="n">
        <v>233.774</v>
      </c>
    </row>
    <row r="37">
      <c r="A37" s="5" t="n">
        <v>587.28</v>
      </c>
      <c r="B37" s="5" t="n">
        <v>233.936</v>
      </c>
    </row>
    <row r="38">
      <c r="A38" s="5" t="n">
        <v>592.9299999999999</v>
      </c>
      <c r="B38" s="5" t="n">
        <v>234.999</v>
      </c>
    </row>
    <row r="39">
      <c r="A39" s="5" t="n">
        <v>624.388</v>
      </c>
      <c r="B39" s="5" t="n">
        <v>240.757</v>
      </c>
    </row>
    <row r="40">
      <c r="A40" s="5" t="n">
        <v>628.0599999999999</v>
      </c>
      <c r="B40" s="5" t="n">
        <v>241.566</v>
      </c>
    </row>
    <row r="41">
      <c r="A41" s="5" t="n">
        <v>841.626</v>
      </c>
      <c r="B41" s="5" t="n">
        <v>240.514</v>
      </c>
    </row>
    <row r="43">
      <c r="A43" s="6" t="inlineStr">
        <is>
          <t>Capacidad a niveles del lago</t>
        </is>
      </c>
    </row>
    <row r="44">
      <c r="A44" s="3" t="inlineStr">
        <is>
          <t>Nivel_msnm</t>
        </is>
      </c>
      <c r="B44" s="3" t="inlineStr">
        <is>
          <t>Referencia</t>
        </is>
      </c>
      <c r="C44" s="3" t="inlineStr">
        <is>
          <t>Area_mojada_m2</t>
        </is>
      </c>
      <c r="D44" s="3" t="inlineStr">
        <is>
          <t>Ancho_m</t>
        </is>
      </c>
    </row>
    <row r="45">
      <c r="A45" t="n">
        <v>230</v>
      </c>
      <c r="B45" t="inlineStr">
        <is>
          <t>minimo historico citado</t>
        </is>
      </c>
      <c r="C45" t="n">
        <v>155.38</v>
      </c>
      <c r="D45" t="n">
        <v>90.88</v>
      </c>
    </row>
    <row r="46">
      <c r="A46" t="n">
        <v>231</v>
      </c>
      <c r="B46" t="inlineStr">
        <is>
          <t>cota minima provisional 3TA</t>
        </is>
      </c>
      <c r="C46" t="n">
        <v>263.99</v>
      </c>
      <c r="D46" t="n">
        <v>159.58</v>
      </c>
    </row>
    <row r="47">
      <c r="A47" t="n">
        <v>243</v>
      </c>
      <c r="B47" t="inlineStr">
        <is>
          <t>maximo normal aproximado</t>
        </is>
      </c>
      <c r="C47" t="n">
        <v>5742.82</v>
      </c>
      <c r="D47" t="n">
        <v>841.63</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53"/>
  <sheetViews>
    <sheetView workbookViewId="0">
      <pane ySplit="50" topLeftCell="A51" activePane="bottomLeft" state="frozen"/>
      <selection pane="bottomLeft" activeCell="A1" sqref="A1"/>
    </sheetView>
  </sheetViews>
  <sheetFormatPr baseColWidth="8" defaultRowHeight="15"/>
  <cols>
    <col width="13" customWidth="1" min="1" max="1"/>
    <col width="30" customWidth="1" min="2" max="2"/>
    <col width="16" customWidth="1" min="3" max="3"/>
    <col width="12" customWidth="1" min="4" max="4"/>
  </cols>
  <sheetData>
    <row r="1">
      <c r="A1" s="1" t="inlineStr">
        <is>
          <t>CORTE B — sección transversal (geometría de referencia)</t>
        </is>
      </c>
    </row>
    <row r="2">
      <c r="A2" s="4" t="inlineStr">
        <is>
          <t>Idéntica en los planos de 2014 y 2018. Cotas en m.s.n.m., estación en m desde el extremo izquierdo del gráfico.</t>
        </is>
      </c>
    </row>
    <row r="4">
      <c r="A4" s="3" t="inlineStr">
        <is>
          <t>Estacion_m</t>
        </is>
      </c>
      <c r="B4" s="3" t="inlineStr">
        <is>
          <t>Cota_msnm</t>
        </is>
      </c>
    </row>
    <row r="5">
      <c r="A5" s="5" t="n">
        <v>0</v>
      </c>
      <c r="B5" s="5" t="n">
        <v>243.497</v>
      </c>
    </row>
    <row r="6">
      <c r="A6" s="5" t="n">
        <v>48.775</v>
      </c>
      <c r="B6" s="5" t="n">
        <v>243.294</v>
      </c>
    </row>
    <row r="7">
      <c r="A7" s="5" t="n">
        <v>49.081</v>
      </c>
      <c r="B7" s="5" t="n">
        <v>243.289</v>
      </c>
    </row>
    <row r="8">
      <c r="A8" s="5" t="n">
        <v>50.161</v>
      </c>
      <c r="B8" s="5" t="n">
        <v>242.741</v>
      </c>
    </row>
    <row r="9">
      <c r="A9" s="5" t="n">
        <v>62.166</v>
      </c>
      <c r="B9" s="5" t="n">
        <v>237.147</v>
      </c>
    </row>
    <row r="10">
      <c r="A10" s="5" t="n">
        <v>77.28</v>
      </c>
      <c r="B10" s="5" t="n">
        <v>237.14</v>
      </c>
    </row>
    <row r="11">
      <c r="A11" s="5" t="n">
        <v>109.524</v>
      </c>
      <c r="B11" s="5" t="n">
        <v>236.875</v>
      </c>
    </row>
    <row r="12">
      <c r="A12" s="5" t="n">
        <v>115.293</v>
      </c>
      <c r="B12" s="5" t="n">
        <v>235.108</v>
      </c>
    </row>
    <row r="13">
      <c r="A13" s="5" t="n">
        <v>115.742</v>
      </c>
      <c r="B13" s="5" t="n">
        <v>234.985</v>
      </c>
    </row>
    <row r="14">
      <c r="A14" s="5" t="n">
        <v>116.743</v>
      </c>
      <c r="B14" s="5" t="n">
        <v>234.98</v>
      </c>
    </row>
    <row r="15">
      <c r="A15" s="5" t="n">
        <v>134</v>
      </c>
      <c r="B15" s="5" t="n">
        <v>234.884</v>
      </c>
    </row>
    <row r="16">
      <c r="A16" s="5" t="n">
        <v>158.32</v>
      </c>
      <c r="B16" s="5" t="n">
        <v>237.725</v>
      </c>
    </row>
    <row r="17">
      <c r="A17" s="5" t="n">
        <v>159.961</v>
      </c>
      <c r="B17" s="5" t="n">
        <v>237.847</v>
      </c>
    </row>
    <row r="18">
      <c r="A18" s="5" t="n">
        <v>161.078</v>
      </c>
      <c r="B18" s="5" t="n">
        <v>237.838</v>
      </c>
    </row>
    <row r="19">
      <c r="A19" s="5" t="n">
        <v>164.641</v>
      </c>
      <c r="B19" s="5" t="n">
        <v>237.684</v>
      </c>
    </row>
    <row r="20">
      <c r="A20" s="5" t="n">
        <v>225.405</v>
      </c>
      <c r="B20" s="5" t="n">
        <v>234.015</v>
      </c>
    </row>
    <row r="21">
      <c r="A21" s="5" t="n">
        <v>232.713</v>
      </c>
      <c r="B21" s="5" t="n">
        <v>234.005</v>
      </c>
    </row>
    <row r="22">
      <c r="A22" s="5" t="n">
        <v>240.843</v>
      </c>
      <c r="B22" s="5" t="n">
        <v>234</v>
      </c>
    </row>
    <row r="23">
      <c r="A23" s="5" t="n">
        <v>242.249</v>
      </c>
      <c r="B23" s="5" t="n">
        <v>234.65</v>
      </c>
    </row>
    <row r="24">
      <c r="A24" s="5" t="n">
        <v>247.187</v>
      </c>
      <c r="B24" s="5" t="n">
        <v>238.964</v>
      </c>
    </row>
    <row r="25">
      <c r="A25" s="5" t="n">
        <v>252.827</v>
      </c>
      <c r="B25" s="5" t="n">
        <v>241.94</v>
      </c>
    </row>
    <row r="26">
      <c r="A26" s="5" t="n">
        <v>255.59</v>
      </c>
      <c r="B26" s="5" t="n">
        <v>244.245</v>
      </c>
    </row>
    <row r="27">
      <c r="A27" s="5" t="n">
        <v>258.991</v>
      </c>
      <c r="B27" s="5" t="n">
        <v>244.27</v>
      </c>
    </row>
    <row r="28">
      <c r="A28" s="5" t="n">
        <v>262.875</v>
      </c>
      <c r="B28" s="5" t="n">
        <v>244.369</v>
      </c>
    </row>
    <row r="29">
      <c r="A29" s="5" t="n">
        <v>271.457</v>
      </c>
      <c r="B29" s="5" t="n">
        <v>244.511</v>
      </c>
    </row>
    <row r="30">
      <c r="A30" s="5" t="n">
        <v>278.971</v>
      </c>
      <c r="B30" s="5" t="n">
        <v>244.674</v>
      </c>
    </row>
    <row r="31">
      <c r="A31" s="5" t="n">
        <v>279.271</v>
      </c>
      <c r="B31" s="5" t="n">
        <v>244.44</v>
      </c>
    </row>
    <row r="32">
      <c r="A32" s="5" t="n">
        <v>286.476</v>
      </c>
      <c r="B32" s="5" t="n">
        <v>239.62</v>
      </c>
    </row>
    <row r="33">
      <c r="A33" s="5" t="n">
        <v>306.982</v>
      </c>
      <c r="B33" s="5" t="n">
        <v>238.935</v>
      </c>
    </row>
    <row r="34">
      <c r="A34" s="5" t="n">
        <v>324.25</v>
      </c>
      <c r="B34" s="5" t="n">
        <v>238.354</v>
      </c>
    </row>
    <row r="35">
      <c r="A35" s="5" t="n">
        <v>357.427</v>
      </c>
      <c r="B35" s="5" t="n">
        <v>232.817</v>
      </c>
    </row>
    <row r="36">
      <c r="A36" s="5" t="n">
        <v>357.986</v>
      </c>
      <c r="B36" s="5" t="n">
        <v>232.629</v>
      </c>
    </row>
    <row r="37">
      <c r="A37" s="5" t="n">
        <v>358.91</v>
      </c>
      <c r="B37" s="5" t="n">
        <v>232.621</v>
      </c>
    </row>
    <row r="38">
      <c r="A38" s="5" t="n">
        <v>359.489</v>
      </c>
      <c r="B38" s="5" t="n">
        <v>232.694</v>
      </c>
    </row>
    <row r="39">
      <c r="A39" s="5" t="n">
        <v>359.612</v>
      </c>
      <c r="B39" s="5" t="n">
        <v>232.705</v>
      </c>
    </row>
    <row r="40">
      <c r="A40" s="5" t="n">
        <v>365.015</v>
      </c>
      <c r="B40" s="5" t="n">
        <v>233.313</v>
      </c>
    </row>
    <row r="41">
      <c r="A41" s="5" t="n">
        <v>365.394</v>
      </c>
      <c r="B41" s="5" t="n">
        <v>233.921</v>
      </c>
    </row>
    <row r="42">
      <c r="A42" s="5" t="n">
        <v>368.279</v>
      </c>
      <c r="B42" s="5" t="n">
        <v>234.566</v>
      </c>
    </row>
    <row r="43">
      <c r="A43" s="5" t="n">
        <v>368.374</v>
      </c>
      <c r="B43" s="5" t="n">
        <v>234.223</v>
      </c>
    </row>
    <row r="44">
      <c r="A44" s="5" t="n">
        <v>370.266</v>
      </c>
      <c r="B44" s="5" t="n">
        <v>234.938</v>
      </c>
    </row>
    <row r="45">
      <c r="A45" s="5" t="n">
        <v>377.468</v>
      </c>
      <c r="B45" s="5" t="n">
        <v>244.327</v>
      </c>
    </row>
    <row r="46">
      <c r="A46" s="5" t="n">
        <v>379.348</v>
      </c>
      <c r="B46" s="5" t="n">
        <v>244.334</v>
      </c>
    </row>
    <row r="47">
      <c r="A47" s="5" t="n">
        <v>439.725</v>
      </c>
      <c r="B47" s="5" t="n">
        <v>245.269</v>
      </c>
    </row>
    <row r="49">
      <c r="A49" s="6" t="inlineStr">
        <is>
          <t>Capacidad a niveles del lago</t>
        </is>
      </c>
    </row>
    <row r="50">
      <c r="A50" s="3" t="inlineStr">
        <is>
          <t>Nivel_msnm</t>
        </is>
      </c>
      <c r="B50" s="3" t="inlineStr">
        <is>
          <t>Referencia</t>
        </is>
      </c>
      <c r="C50" s="3" t="inlineStr">
        <is>
          <t>Area_mojada_m2</t>
        </is>
      </c>
      <c r="D50" s="3" t="inlineStr">
        <is>
          <t>Ancho_m</t>
        </is>
      </c>
    </row>
    <row r="51">
      <c r="A51" t="n">
        <v>230</v>
      </c>
      <c r="B51" t="inlineStr">
        <is>
          <t>minimo historico citado</t>
        </is>
      </c>
      <c r="C51" t="n">
        <v>0</v>
      </c>
      <c r="D51" t="n">
        <v>0</v>
      </c>
    </row>
    <row r="52">
      <c r="A52" t="n">
        <v>231</v>
      </c>
      <c r="B52" t="inlineStr">
        <is>
          <t>cota minima provisional 3TA</t>
        </is>
      </c>
      <c r="C52" t="n">
        <v>0</v>
      </c>
      <c r="D52" t="n">
        <v>0</v>
      </c>
    </row>
    <row r="53">
      <c r="A53" t="n">
        <v>243</v>
      </c>
      <c r="B53" t="inlineStr">
        <is>
          <t>maximo normal aproximado</t>
        </is>
      </c>
      <c r="C53" t="n">
        <v>1889.87</v>
      </c>
      <c r="D53" t="n">
        <v>299.47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32"/>
  <sheetViews>
    <sheetView workbookViewId="0">
      <pane ySplit="29" topLeftCell="A30" activePane="bottomLeft" state="frozen"/>
      <selection pane="bottomLeft" activeCell="A1" sqref="A1"/>
    </sheetView>
  </sheetViews>
  <sheetFormatPr baseColWidth="8" defaultRowHeight="15"/>
  <cols>
    <col width="13" customWidth="1" min="1" max="1"/>
    <col width="30" customWidth="1" min="2" max="2"/>
    <col width="16" customWidth="1" min="3" max="3"/>
    <col width="12" customWidth="1" min="4" max="4"/>
  </cols>
  <sheetData>
    <row r="1">
      <c r="A1" s="1" t="inlineStr">
        <is>
          <t>CORTE C — sección transversal (geometría de referencia)</t>
        </is>
      </c>
    </row>
    <row r="2">
      <c r="A2" s="4" t="inlineStr">
        <is>
          <t>Idéntica en los planos de 2014 y 2018. Cotas en m.s.n.m., estación en m desde el extremo izquierdo del gráfico.</t>
        </is>
      </c>
    </row>
    <row r="4">
      <c r="A4" s="3" t="inlineStr">
        <is>
          <t>Estacion_m</t>
        </is>
      </c>
      <c r="B4" s="3" t="inlineStr">
        <is>
          <t>Cota_msnm</t>
        </is>
      </c>
    </row>
    <row r="5">
      <c r="A5" s="5" t="n">
        <v>0</v>
      </c>
      <c r="B5" s="5" t="n">
        <v>249.175</v>
      </c>
    </row>
    <row r="6">
      <c r="A6" s="5" t="n">
        <v>44.631</v>
      </c>
      <c r="B6" s="5" t="n">
        <v>249.106</v>
      </c>
    </row>
    <row r="7">
      <c r="A7" s="5" t="n">
        <v>45.236</v>
      </c>
      <c r="B7" s="5" t="n">
        <v>249.076</v>
      </c>
    </row>
    <row r="8">
      <c r="A8" s="5" t="n">
        <v>49.091</v>
      </c>
      <c r="B8" s="5" t="n">
        <v>249.048</v>
      </c>
    </row>
    <row r="9">
      <c r="A9" s="5" t="n">
        <v>58.176</v>
      </c>
      <c r="B9" s="5" t="n">
        <v>246.078</v>
      </c>
    </row>
    <row r="10">
      <c r="A10" s="5" t="n">
        <v>64.926</v>
      </c>
      <c r="B10" s="5" t="n">
        <v>244.262</v>
      </c>
    </row>
    <row r="11">
      <c r="A11" s="5" t="n">
        <v>71.55200000000001</v>
      </c>
      <c r="B11" s="5" t="n">
        <v>244.461</v>
      </c>
    </row>
    <row r="12">
      <c r="A12" s="5" t="n">
        <v>93.54600000000001</v>
      </c>
      <c r="B12" s="5" t="n">
        <v>244.307</v>
      </c>
    </row>
    <row r="13">
      <c r="A13" s="5" t="n">
        <v>99.218</v>
      </c>
      <c r="B13" s="5" t="n">
        <v>243.63</v>
      </c>
    </row>
    <row r="14">
      <c r="A14" s="5" t="n">
        <v>102.243</v>
      </c>
      <c r="B14" s="5" t="n">
        <v>243.616</v>
      </c>
    </row>
    <row r="15">
      <c r="A15" s="5" t="n">
        <v>111.854</v>
      </c>
      <c r="B15" s="5" t="n">
        <v>243.972</v>
      </c>
    </row>
    <row r="16">
      <c r="A16" s="5" t="n">
        <v>121.44</v>
      </c>
      <c r="B16" s="5" t="n">
        <v>245.422</v>
      </c>
    </row>
    <row r="17">
      <c r="A17" s="5" t="n">
        <v>139.991</v>
      </c>
      <c r="B17" s="5" t="n">
        <v>247.215</v>
      </c>
    </row>
    <row r="18">
      <c r="A18" s="5" t="n">
        <v>176.532</v>
      </c>
      <c r="B18" s="5" t="n">
        <v>244.614</v>
      </c>
    </row>
    <row r="19">
      <c r="A19" s="5" t="n">
        <v>180.728</v>
      </c>
      <c r="B19" s="5" t="n">
        <v>243.821</v>
      </c>
    </row>
    <row r="20">
      <c r="A20" s="5" t="n">
        <v>180.912</v>
      </c>
      <c r="B20" s="5" t="n">
        <v>244.183</v>
      </c>
    </row>
    <row r="21">
      <c r="A21" s="5" t="n">
        <v>182.188</v>
      </c>
      <c r="B21" s="5" t="n">
        <v>244.638</v>
      </c>
    </row>
    <row r="22">
      <c r="A22" s="5" t="n">
        <v>185.337</v>
      </c>
      <c r="B22" s="5" t="n">
        <v>246.289</v>
      </c>
    </row>
    <row r="23">
      <c r="A23" s="5" t="n">
        <v>194.002</v>
      </c>
      <c r="B23" s="5" t="n">
        <v>246.9</v>
      </c>
    </row>
    <row r="24">
      <c r="A24" s="5" t="n">
        <v>198.666</v>
      </c>
      <c r="B24" s="5" t="n">
        <v>248.742</v>
      </c>
    </row>
    <row r="25">
      <c r="A25" s="5" t="n">
        <v>201.232</v>
      </c>
      <c r="B25" s="5" t="n">
        <v>248.703</v>
      </c>
    </row>
    <row r="26">
      <c r="A26" s="5" t="n">
        <v>288.377</v>
      </c>
      <c r="B26" s="5" t="n">
        <v>248.572</v>
      </c>
    </row>
    <row r="28">
      <c r="A28" s="6" t="inlineStr">
        <is>
          <t>Capacidad a niveles del lago</t>
        </is>
      </c>
    </row>
    <row r="29">
      <c r="A29" s="3" t="inlineStr">
        <is>
          <t>Nivel_msnm</t>
        </is>
      </c>
      <c r="B29" s="3" t="inlineStr">
        <is>
          <t>Referencia</t>
        </is>
      </c>
      <c r="C29" s="3" t="inlineStr">
        <is>
          <t>Area_mojada_m2</t>
        </is>
      </c>
      <c r="D29" s="3" t="inlineStr">
        <is>
          <t>Ancho_m</t>
        </is>
      </c>
    </row>
    <row r="30">
      <c r="A30" t="n">
        <v>230</v>
      </c>
      <c r="B30" t="inlineStr">
        <is>
          <t>minimo historico citado</t>
        </is>
      </c>
      <c r="C30" t="n">
        <v>0</v>
      </c>
      <c r="D30" t="n">
        <v>0</v>
      </c>
    </row>
    <row r="31">
      <c r="A31" t="n">
        <v>231</v>
      </c>
      <c r="B31" t="inlineStr">
        <is>
          <t>cota minima provisional 3TA</t>
        </is>
      </c>
      <c r="C31" t="n">
        <v>0</v>
      </c>
      <c r="D31" t="n">
        <v>0</v>
      </c>
    </row>
    <row r="32">
      <c r="A32" t="n">
        <v>243</v>
      </c>
      <c r="B32" t="inlineStr">
        <is>
          <t>maximo normal aproximado</t>
        </is>
      </c>
      <c r="C32" t="n">
        <v>0</v>
      </c>
      <c r="D32"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M13"/>
  <sheetViews>
    <sheetView workbookViewId="0">
      <pane ySplit="3" topLeftCell="A4" activePane="bottomLeft" state="frozen"/>
      <selection pane="bottomLeft" activeCell="A1" sqref="A1"/>
    </sheetView>
  </sheetViews>
  <sheetFormatPr baseColWidth="8" defaultRowHeight="15"/>
  <cols>
    <col width="8" customWidth="1" min="1" max="1"/>
    <col width="10" customWidth="1" min="2" max="2"/>
    <col width="18" customWidth="1" min="3" max="3"/>
    <col width="15" customWidth="1" min="4" max="4"/>
    <col width="15" customWidth="1" min="5" max="5"/>
    <col width="10" customWidth="1" min="6" max="6"/>
    <col width="18" customWidth="1" min="7" max="7"/>
    <col width="14" customWidth="1" min="8" max="8"/>
    <col width="13" customWidth="1" min="9" max="9"/>
    <col width="14" customWidth="1" min="10" max="10"/>
    <col width="13" customWidth="1" min="11" max="11"/>
    <col width="14" customWidth="1" min="12" max="12"/>
    <col width="13" customWidth="1" min="13" max="13"/>
  </cols>
  <sheetData>
    <row r="1">
      <c r="A1" s="1" t="inlineStr">
        <is>
          <t>Resumen morfométrico de las 7 secciones</t>
        </is>
      </c>
    </row>
    <row r="3">
      <c r="A3" s="3" t="inlineStr">
        <is>
          <t>Corte</t>
        </is>
      </c>
      <c r="B3" s="3" t="inlineStr">
        <is>
          <t>N_puntos</t>
        </is>
      </c>
      <c r="C3" s="3" t="inlineStr">
        <is>
          <t>Ancho_levantado_m</t>
        </is>
      </c>
      <c r="D3" s="3" t="inlineStr">
        <is>
          <t>Cota_min_msnm</t>
        </is>
      </c>
      <c r="E3" s="3" t="inlineStr">
        <is>
          <t>Cota_max_msnm</t>
        </is>
      </c>
      <c r="F3" s="3" t="inlineStr">
        <is>
          <t>Relieve_m</t>
        </is>
      </c>
      <c r="G3" s="3" t="inlineStr">
        <is>
          <t>Estacion_thalweg_m</t>
        </is>
      </c>
      <c r="H3" s="3" t="inlineStr">
        <is>
          <t>Area_230_m2</t>
        </is>
      </c>
      <c r="I3" s="3" t="inlineStr">
        <is>
          <t>Ancho_230_m</t>
        </is>
      </c>
      <c r="J3" s="3" t="inlineStr">
        <is>
          <t>Area_231_m2</t>
        </is>
      </c>
      <c r="K3" s="3" t="inlineStr">
        <is>
          <t>Ancho_231_m</t>
        </is>
      </c>
      <c r="L3" s="3" t="inlineStr">
        <is>
          <t>Area_243_m2</t>
        </is>
      </c>
      <c r="M3" s="3" t="inlineStr">
        <is>
          <t>Ancho_243_m</t>
        </is>
      </c>
    </row>
    <row r="4">
      <c r="A4" s="7" t="inlineStr">
        <is>
          <t>1</t>
        </is>
      </c>
      <c r="B4" s="5" t="n">
        <v>32</v>
      </c>
      <c r="C4" s="5" t="n">
        <v>625.9400000000001</v>
      </c>
      <c r="D4" s="5" t="n">
        <v>225.69</v>
      </c>
      <c r="E4" s="5" t="n">
        <v>239.92</v>
      </c>
      <c r="F4" s="5" t="n">
        <v>14.23</v>
      </c>
      <c r="G4" s="5" t="n">
        <v>262.41</v>
      </c>
      <c r="H4" s="5" t="n">
        <v>349.73</v>
      </c>
      <c r="I4" s="5" t="n">
        <v>131.1</v>
      </c>
      <c r="J4" s="5" t="n">
        <v>504.41</v>
      </c>
      <c r="K4" s="5" t="n">
        <v>186.74</v>
      </c>
      <c r="L4" s="5" t="n">
        <v>5773.81</v>
      </c>
      <c r="M4" s="5" t="n">
        <v>625.9400000000001</v>
      </c>
    </row>
    <row r="5">
      <c r="A5" s="7" t="inlineStr">
        <is>
          <t>2</t>
        </is>
      </c>
      <c r="B5" s="5" t="n">
        <v>31</v>
      </c>
      <c r="C5" s="5" t="n">
        <v>382.95</v>
      </c>
      <c r="D5" s="5" t="n">
        <v>231.35</v>
      </c>
      <c r="E5" s="5" t="n">
        <v>243.83</v>
      </c>
      <c r="F5" s="5" t="n">
        <v>12.48</v>
      </c>
      <c r="G5" s="5" t="n">
        <v>281.28</v>
      </c>
      <c r="H5" s="5" t="n">
        <v>0</v>
      </c>
      <c r="I5" s="5" t="n">
        <v>0</v>
      </c>
      <c r="J5" s="5" t="n">
        <v>0</v>
      </c>
      <c r="K5" s="5" t="n">
        <v>0</v>
      </c>
      <c r="L5" s="5" t="n">
        <v>1056.55</v>
      </c>
      <c r="M5" s="5" t="n">
        <v>170.74</v>
      </c>
    </row>
    <row r="6">
      <c r="A6" s="7" t="inlineStr">
        <is>
          <t>3</t>
        </is>
      </c>
      <c r="B6" s="5" t="n">
        <v>39</v>
      </c>
      <c r="C6" s="5" t="n">
        <v>436.34</v>
      </c>
      <c r="D6" s="5" t="n">
        <v>235.06</v>
      </c>
      <c r="E6" s="5" t="n">
        <v>245.24</v>
      </c>
      <c r="F6" s="5" t="n">
        <v>10.18</v>
      </c>
      <c r="G6" s="5" t="n">
        <v>381.57</v>
      </c>
      <c r="H6" s="5" t="n">
        <v>0</v>
      </c>
      <c r="I6" s="5" t="n">
        <v>0</v>
      </c>
      <c r="J6" s="5" t="n">
        <v>0</v>
      </c>
      <c r="K6" s="5" t="n">
        <v>0</v>
      </c>
      <c r="L6" s="5" t="n">
        <v>1916.21</v>
      </c>
      <c r="M6" s="5" t="n">
        <v>327.29</v>
      </c>
    </row>
    <row r="7">
      <c r="A7" s="7" t="inlineStr">
        <is>
          <t>4</t>
        </is>
      </c>
      <c r="B7" s="5" t="n">
        <v>22</v>
      </c>
      <c r="C7" s="5" t="n">
        <v>205.06</v>
      </c>
      <c r="D7" s="5" t="n">
        <v>239.81</v>
      </c>
      <c r="E7" s="5" t="n">
        <v>246.53</v>
      </c>
      <c r="F7" s="5" t="n">
        <v>6.72</v>
      </c>
      <c r="G7" s="5" t="n">
        <v>58.81</v>
      </c>
      <c r="H7" s="5" t="n">
        <v>0</v>
      </c>
      <c r="I7" s="5" t="n">
        <v>0</v>
      </c>
      <c r="J7" s="5" t="n">
        <v>0</v>
      </c>
      <c r="K7" s="5" t="n">
        <v>0</v>
      </c>
      <c r="L7" s="5" t="n">
        <v>121.23</v>
      </c>
      <c r="M7" s="5" t="n">
        <v>88.43000000000001</v>
      </c>
    </row>
    <row r="8">
      <c r="A8" s="7" t="inlineStr">
        <is>
          <t>A</t>
        </is>
      </c>
      <c r="B8" s="5" t="n">
        <v>37</v>
      </c>
      <c r="C8" s="5" t="n">
        <v>841.63</v>
      </c>
      <c r="D8" s="5" t="n">
        <v>227.21</v>
      </c>
      <c r="E8" s="5" t="n">
        <v>241.57</v>
      </c>
      <c r="F8" s="5" t="n">
        <v>14.36</v>
      </c>
      <c r="G8" s="5" t="n">
        <v>355.97</v>
      </c>
      <c r="H8" s="5" t="n">
        <v>155.38</v>
      </c>
      <c r="I8" s="5" t="n">
        <v>90.88</v>
      </c>
      <c r="J8" s="5" t="n">
        <v>263.99</v>
      </c>
      <c r="K8" s="5" t="n">
        <v>159.58</v>
      </c>
      <c r="L8" s="5" t="n">
        <v>5742.82</v>
      </c>
      <c r="M8" s="5" t="n">
        <v>841.63</v>
      </c>
    </row>
    <row r="9">
      <c r="A9" s="7" t="inlineStr">
        <is>
          <t>B</t>
        </is>
      </c>
      <c r="B9" s="5" t="n">
        <v>43</v>
      </c>
      <c r="C9" s="5" t="n">
        <v>439.73</v>
      </c>
      <c r="D9" s="5" t="n">
        <v>232.62</v>
      </c>
      <c r="E9" s="5" t="n">
        <v>245.27</v>
      </c>
      <c r="F9" s="5" t="n">
        <v>12.65</v>
      </c>
      <c r="G9" s="5" t="n">
        <v>358.91</v>
      </c>
      <c r="H9" s="5" t="n">
        <v>0</v>
      </c>
      <c r="I9" s="5" t="n">
        <v>0</v>
      </c>
      <c r="J9" s="5" t="n">
        <v>0</v>
      </c>
      <c r="K9" s="5" t="n">
        <v>0</v>
      </c>
      <c r="L9" s="5" t="n">
        <v>1889.87</v>
      </c>
      <c r="M9" s="5" t="n">
        <v>299.47</v>
      </c>
    </row>
    <row r="10">
      <c r="A10" s="7" t="inlineStr">
        <is>
          <t>C</t>
        </is>
      </c>
      <c r="B10" s="5" t="n">
        <v>22</v>
      </c>
      <c r="C10" s="5" t="n">
        <v>288.38</v>
      </c>
      <c r="D10" s="5" t="n">
        <v>243.62</v>
      </c>
      <c r="E10" s="5" t="n">
        <v>249.18</v>
      </c>
      <c r="F10" s="5" t="n">
        <v>5.56</v>
      </c>
      <c r="G10" s="5" t="n">
        <v>102.24</v>
      </c>
      <c r="H10" s="5" t="n">
        <v>0</v>
      </c>
      <c r="I10" s="5" t="n">
        <v>0</v>
      </c>
      <c r="J10" s="5" t="n">
        <v>0</v>
      </c>
      <c r="K10" s="5" t="n">
        <v>0</v>
      </c>
      <c r="L10" s="5" t="n">
        <v>0</v>
      </c>
      <c r="M10" s="5" t="n">
        <v>0</v>
      </c>
    </row>
    <row r="13">
      <c r="A13" s="4" t="inlineStr">
        <is>
          <t>El thalweg es el punto más bajo del perfil. Area/Ancho son la sección mojada si el agua alcanzara esa cota.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3"/>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8" customWidth="1" min="3" max="3"/>
    <col width="14" customWidth="1" min="4" max="4"/>
    <col width="12" customWidth="1" min="5" max="5"/>
    <col width="8" customWidth="1" min="6" max="6"/>
    <col width="14" customWidth="1" min="7" max="7"/>
    <col width="11" customWidth="1" min="8" max="8"/>
    <col width="11" customWidth="1" min="9" max="9"/>
    <col width="10" customWidth="1" min="10" max="10"/>
    <col width="11" customWidth="1" min="11" max="11"/>
    <col width="11" customWidth="1" min="12" max="12"/>
    <col width="9" customWidth="1" min="13" max="13"/>
    <col width="18" customWidth="1" min="14" max="14"/>
  </cols>
  <sheetData>
    <row r="1">
      <c r="A1" s="1" t="inlineStr">
        <is>
          <t>Polígonos dibujados sobre los perfiles (inventario auditable)</t>
        </is>
      </c>
    </row>
    <row r="2">
      <c r="A2" s="4" t="inlineStr">
        <is>
          <t>Área ya corregida por la exageración vertical ×10. La columna 'Capa' permite auditar el origen: los de capa 'texto' son probablemente anotaciones.</t>
        </is>
      </c>
    </row>
    <row r="4">
      <c r="A4" s="3" t="inlineStr">
        <is>
          <t>Plano</t>
        </is>
      </c>
      <c r="B4" s="3" t="inlineStr">
        <is>
          <t>Fecha</t>
        </is>
      </c>
      <c r="C4" s="3" t="inlineStr">
        <is>
          <t>Corte</t>
        </is>
      </c>
      <c r="D4" s="3" t="inlineStr">
        <is>
          <t>Capa</t>
        </is>
      </c>
      <c r="E4" s="3" t="inlineStr">
        <is>
          <t>Tipo</t>
        </is>
      </c>
      <c r="F4" s="3" t="inlineStr">
        <is>
          <t>N_vert</t>
        </is>
      </c>
      <c r="G4" s="3" t="inlineStr">
        <is>
          <t>Area_real_m2</t>
        </is>
      </c>
      <c r="H4" s="3" t="inlineStr">
        <is>
          <t>Est_ini_m</t>
        </is>
      </c>
      <c r="I4" s="3" t="inlineStr">
        <is>
          <t>Est_fin_m</t>
        </is>
      </c>
      <c r="J4" s="3" t="inlineStr">
        <is>
          <t>Ancho_m</t>
        </is>
      </c>
      <c r="K4" s="3" t="inlineStr">
        <is>
          <t>Cota_min</t>
        </is>
      </c>
      <c r="L4" s="3" t="inlineStr">
        <is>
          <t>Cota_max</t>
        </is>
      </c>
      <c r="M4" s="3" t="inlineStr">
        <is>
          <t>Alto_m</t>
        </is>
      </c>
      <c r="N4" s="3" t="inlineStr">
        <is>
          <t>Probable_anotacion</t>
        </is>
      </c>
    </row>
    <row r="5">
      <c r="A5" s="5" t="inlineStr">
        <is>
          <t>2014-01</t>
        </is>
      </c>
      <c r="B5" s="5" t="inlineStr">
        <is>
          <t>enero 2014</t>
        </is>
      </c>
      <c r="C5" s="5" t="inlineStr">
        <is>
          <t>1</t>
        </is>
      </c>
      <c r="D5" s="5" t="inlineStr">
        <is>
          <t>0</t>
        </is>
      </c>
      <c r="E5" s="5" t="inlineStr">
        <is>
          <t>HATCH+LWPOLYLINE</t>
        </is>
      </c>
      <c r="F5" s="5" t="n">
        <v>94</v>
      </c>
      <c r="G5" s="5" t="n">
        <v>1246.04</v>
      </c>
      <c r="H5" s="5" t="n">
        <v>132.41</v>
      </c>
      <c r="I5" s="5" t="n">
        <v>239.51</v>
      </c>
      <c r="J5" s="5" t="n">
        <v>107.11</v>
      </c>
      <c r="K5" s="5" t="n">
        <v>225.95</v>
      </c>
      <c r="L5" s="5" t="n">
        <v>239.92</v>
      </c>
      <c r="M5" s="5" t="n">
        <v>13.97</v>
      </c>
      <c r="N5" s="5" t="inlineStr"/>
    </row>
    <row r="6">
      <c r="A6" s="5" t="inlineStr">
        <is>
          <t>2014-01</t>
        </is>
      </c>
      <c r="B6" s="5" t="inlineStr">
        <is>
          <t>enero 2014</t>
        </is>
      </c>
      <c r="C6" s="5" t="inlineStr">
        <is>
          <t>1</t>
        </is>
      </c>
      <c r="D6" s="5" t="inlineStr">
        <is>
          <t>0</t>
        </is>
      </c>
      <c r="E6" s="5" t="inlineStr">
        <is>
          <t>HATCH</t>
        </is>
      </c>
      <c r="F6" s="5" t="n">
        <v>36</v>
      </c>
      <c r="G6" s="5" t="n">
        <v>326.03</v>
      </c>
      <c r="H6" s="5" t="n">
        <v>102.38</v>
      </c>
      <c r="I6" s="5" t="n">
        <v>140.51</v>
      </c>
      <c r="J6" s="5" t="n">
        <v>38.13</v>
      </c>
      <c r="K6" s="5" t="n">
        <v>226.28</v>
      </c>
      <c r="L6" s="5" t="n">
        <v>239.72</v>
      </c>
      <c r="M6" s="5" t="n">
        <v>13.44</v>
      </c>
      <c r="N6" s="5" t="inlineStr"/>
    </row>
    <row r="7">
      <c r="A7" s="5" t="inlineStr">
        <is>
          <t>2014-01</t>
        </is>
      </c>
      <c r="B7" s="5" t="inlineStr">
        <is>
          <t>enero 2014</t>
        </is>
      </c>
      <c r="C7" s="5" t="inlineStr">
        <is>
          <t>1</t>
        </is>
      </c>
      <c r="D7" s="5" t="inlineStr">
        <is>
          <t>0</t>
        </is>
      </c>
      <c r="E7" s="5" t="inlineStr">
        <is>
          <t>HATCH</t>
        </is>
      </c>
      <c r="F7" s="5" t="n">
        <v>16</v>
      </c>
      <c r="G7" s="5" t="n">
        <v>247.73</v>
      </c>
      <c r="H7" s="5" t="n">
        <v>81.42</v>
      </c>
      <c r="I7" s="5" t="n">
        <v>114.99</v>
      </c>
      <c r="J7" s="5" t="n">
        <v>33.57</v>
      </c>
      <c r="K7" s="5" t="n">
        <v>226.57</v>
      </c>
      <c r="L7" s="5" t="n">
        <v>237.79</v>
      </c>
      <c r="M7" s="5" t="n">
        <v>11.21</v>
      </c>
      <c r="N7" s="5" t="inlineStr"/>
    </row>
    <row r="8">
      <c r="A8" s="8" t="inlineStr">
        <is>
          <t>2014-01</t>
        </is>
      </c>
      <c r="B8" s="8" t="inlineStr">
        <is>
          <t>enero 2014</t>
        </is>
      </c>
      <c r="C8" s="8" t="inlineStr">
        <is>
          <t>1</t>
        </is>
      </c>
      <c r="D8" s="8" t="inlineStr">
        <is>
          <t>texto</t>
        </is>
      </c>
      <c r="E8" s="8" t="inlineStr">
        <is>
          <t>HATCH</t>
        </is>
      </c>
      <c r="F8" s="8" t="n">
        <v>14</v>
      </c>
      <c r="G8" s="8" t="n">
        <v>72.73</v>
      </c>
      <c r="H8" s="8" t="n">
        <v>65.08</v>
      </c>
      <c r="I8" s="8" t="n">
        <v>89.17</v>
      </c>
      <c r="J8" s="8" t="n">
        <v>24.1</v>
      </c>
      <c r="K8" s="8" t="n">
        <v>226.64</v>
      </c>
      <c r="L8" s="8" t="n">
        <v>236.03</v>
      </c>
      <c r="M8" s="8" t="n">
        <v>9.4</v>
      </c>
      <c r="N8" s="8" t="inlineStr">
        <is>
          <t>SI</t>
        </is>
      </c>
    </row>
    <row r="9">
      <c r="A9" s="5" t="inlineStr">
        <is>
          <t>2014-01</t>
        </is>
      </c>
      <c r="B9" s="5" t="inlineStr">
        <is>
          <t>enero 2014</t>
        </is>
      </c>
      <c r="C9" s="5" t="inlineStr">
        <is>
          <t>1</t>
        </is>
      </c>
      <c r="D9" s="5" t="inlineStr">
        <is>
          <t>0</t>
        </is>
      </c>
      <c r="E9" s="5" t="inlineStr">
        <is>
          <t>HATCH</t>
        </is>
      </c>
      <c r="F9" s="5" t="n">
        <v>30</v>
      </c>
      <c r="G9" s="5" t="n">
        <v>72.14</v>
      </c>
      <c r="H9" s="5" t="n">
        <v>58.62</v>
      </c>
      <c r="I9" s="5" t="n">
        <v>83.63</v>
      </c>
      <c r="J9" s="5" t="n">
        <v>25.01</v>
      </c>
      <c r="K9" s="5" t="n">
        <v>226.67</v>
      </c>
      <c r="L9" s="5" t="n">
        <v>234.65</v>
      </c>
      <c r="M9" s="5" t="n">
        <v>7.98</v>
      </c>
      <c r="N9" s="5" t="inlineStr"/>
    </row>
    <row r="10">
      <c r="A10" s="5" t="inlineStr">
        <is>
          <t>2014-01</t>
        </is>
      </c>
      <c r="B10" s="5" t="inlineStr">
        <is>
          <t>enero 2014</t>
        </is>
      </c>
      <c r="C10" s="5" t="inlineStr">
        <is>
          <t>1</t>
        </is>
      </c>
      <c r="D10" s="5" t="inlineStr">
        <is>
          <t>0</t>
        </is>
      </c>
      <c r="E10" s="5" t="inlineStr">
        <is>
          <t>HATCH+LWPOLYLINE</t>
        </is>
      </c>
      <c r="F10" s="5" t="n">
        <v>10</v>
      </c>
      <c r="G10" s="5" t="n">
        <v>32.51</v>
      </c>
      <c r="H10" s="5" t="n">
        <v>128.29</v>
      </c>
      <c r="I10" s="5" t="n">
        <v>140.51</v>
      </c>
      <c r="J10" s="5" t="n">
        <v>12.23</v>
      </c>
      <c r="K10" s="5" t="n">
        <v>226.28</v>
      </c>
      <c r="L10" s="5" t="n">
        <v>239.71</v>
      </c>
      <c r="M10" s="5" t="n">
        <v>13.43</v>
      </c>
      <c r="N10" s="5" t="inlineStr"/>
    </row>
    <row r="11">
      <c r="A11" s="5" t="inlineStr">
        <is>
          <t>2014-01</t>
        </is>
      </c>
      <c r="B11" s="5" t="inlineStr">
        <is>
          <t>enero 2014</t>
        </is>
      </c>
      <c r="C11" s="5" t="inlineStr">
        <is>
          <t>1</t>
        </is>
      </c>
      <c r="D11" s="5" t="inlineStr">
        <is>
          <t>0</t>
        </is>
      </c>
      <c r="E11" s="5" t="inlineStr">
        <is>
          <t>HATCH</t>
        </is>
      </c>
      <c r="F11" s="5" t="n">
        <v>4</v>
      </c>
      <c r="G11" s="5" t="n">
        <v>0.19</v>
      </c>
      <c r="H11" s="5" t="n">
        <v>140</v>
      </c>
      <c r="I11" s="5" t="n">
        <v>140.51</v>
      </c>
      <c r="J11" s="5" t="n">
        <v>0.51</v>
      </c>
      <c r="K11" s="5" t="n">
        <v>226.28</v>
      </c>
      <c r="L11" s="5" t="n">
        <v>227.12</v>
      </c>
      <c r="M11" s="5" t="n">
        <v>0.84</v>
      </c>
      <c r="N11" s="5" t="inlineStr"/>
    </row>
    <row r="12">
      <c r="A12" s="5" t="inlineStr">
        <is>
          <t>2014-01</t>
        </is>
      </c>
      <c r="B12" s="5" t="inlineStr">
        <is>
          <t>enero 2014</t>
        </is>
      </c>
      <c r="C12" s="5" t="inlineStr">
        <is>
          <t>2</t>
        </is>
      </c>
      <c r="D12" s="5" t="inlineStr">
        <is>
          <t>0</t>
        </is>
      </c>
      <c r="E12" s="5" t="inlineStr">
        <is>
          <t>HATCH</t>
        </is>
      </c>
      <c r="F12" s="5" t="n">
        <v>46</v>
      </c>
      <c r="G12" s="5" t="n">
        <v>689.36</v>
      </c>
      <c r="H12" s="5" t="n">
        <v>115.64</v>
      </c>
      <c r="I12" s="5" t="n">
        <v>193.28</v>
      </c>
      <c r="J12" s="5" t="n">
        <v>77.64</v>
      </c>
      <c r="K12" s="5" t="n">
        <v>231.58</v>
      </c>
      <c r="L12" s="5" t="n">
        <v>243.51</v>
      </c>
      <c r="M12" s="5" t="n">
        <v>11.93</v>
      </c>
      <c r="N12" s="5" t="inlineStr"/>
    </row>
    <row r="13">
      <c r="A13" s="5" t="inlineStr">
        <is>
          <t>2014-01</t>
        </is>
      </c>
      <c r="B13" s="5" t="inlineStr">
        <is>
          <t>enero 2014</t>
        </is>
      </c>
      <c r="C13" s="5" t="inlineStr">
        <is>
          <t>2</t>
        </is>
      </c>
      <c r="D13" s="5" t="inlineStr">
        <is>
          <t>0</t>
        </is>
      </c>
      <c r="E13" s="5" t="inlineStr">
        <is>
          <t>LWPOLYLINE</t>
        </is>
      </c>
      <c r="F13" s="5" t="n">
        <v>12</v>
      </c>
      <c r="G13" s="5" t="n">
        <v>314.2</v>
      </c>
      <c r="H13" s="5" t="n">
        <v>122.03</v>
      </c>
      <c r="I13" s="5" t="n">
        <v>193.28</v>
      </c>
      <c r="J13" s="5" t="n">
        <v>71.25</v>
      </c>
      <c r="K13" s="5" t="n">
        <v>231.58</v>
      </c>
      <c r="L13" s="5" t="n">
        <v>236.73</v>
      </c>
      <c r="M13" s="5" t="n">
        <v>5.15</v>
      </c>
      <c r="N13" s="5" t="inlineStr"/>
    </row>
    <row r="14">
      <c r="A14" s="5" t="inlineStr">
        <is>
          <t>2014-01</t>
        </is>
      </c>
      <c r="B14" s="5" t="inlineStr">
        <is>
          <t>enero 2014</t>
        </is>
      </c>
      <c r="C14" s="5" t="inlineStr">
        <is>
          <t>2</t>
        </is>
      </c>
      <c r="D14" s="5" t="inlineStr">
        <is>
          <t>0</t>
        </is>
      </c>
      <c r="E14" s="5" t="inlineStr">
        <is>
          <t>HATCH+LWPOLYLINE</t>
        </is>
      </c>
      <c r="F14" s="5" t="n">
        <v>10</v>
      </c>
      <c r="G14" s="5" t="n">
        <v>74.15000000000001</v>
      </c>
      <c r="H14" s="5" t="n">
        <v>162.62</v>
      </c>
      <c r="I14" s="5" t="n">
        <v>233.94</v>
      </c>
      <c r="J14" s="5" t="n">
        <v>71.31999999999999</v>
      </c>
      <c r="K14" s="5" t="n">
        <v>231.58</v>
      </c>
      <c r="L14" s="5" t="n">
        <v>236.8</v>
      </c>
      <c r="M14" s="5" t="n">
        <v>5.22</v>
      </c>
      <c r="N14" s="5" t="inlineStr"/>
    </row>
    <row r="15">
      <c r="A15" s="5" t="inlineStr">
        <is>
          <t>2014-01</t>
        </is>
      </c>
      <c r="B15" s="5" t="inlineStr">
        <is>
          <t>enero 2014</t>
        </is>
      </c>
      <c r="C15" s="5" t="inlineStr">
        <is>
          <t>2</t>
        </is>
      </c>
      <c r="D15" s="5" t="inlineStr">
        <is>
          <t>0</t>
        </is>
      </c>
      <c r="E15" s="5" t="inlineStr">
        <is>
          <t>LWPOLYLINE</t>
        </is>
      </c>
      <c r="F15" s="5" t="n">
        <v>4</v>
      </c>
      <c r="G15" s="5" t="n">
        <v>1.8</v>
      </c>
      <c r="H15" s="5" t="n">
        <v>116.32</v>
      </c>
      <c r="I15" s="5" t="n">
        <v>122.03</v>
      </c>
      <c r="J15" s="5" t="n">
        <v>5.7</v>
      </c>
      <c r="K15" s="5" t="n">
        <v>236.73</v>
      </c>
      <c r="L15" s="5" t="n">
        <v>243.29</v>
      </c>
      <c r="M15" s="5" t="n">
        <v>6.55</v>
      </c>
      <c r="N15" s="5" t="inlineStr"/>
    </row>
    <row r="16">
      <c r="A16" s="5" t="inlineStr">
        <is>
          <t>2014-01</t>
        </is>
      </c>
      <c r="B16" s="5" t="inlineStr">
        <is>
          <t>enero 2014</t>
        </is>
      </c>
      <c r="C16" s="5" t="inlineStr">
        <is>
          <t>3</t>
        </is>
      </c>
      <c r="D16" s="5" t="inlineStr">
        <is>
          <t>0</t>
        </is>
      </c>
      <c r="E16" s="5" t="inlineStr">
        <is>
          <t>HATCH</t>
        </is>
      </c>
      <c r="F16" s="5" t="n">
        <v>44</v>
      </c>
      <c r="G16" s="5" t="n">
        <v>417.08</v>
      </c>
      <c r="H16" s="5" t="n">
        <v>10.34</v>
      </c>
      <c r="I16" s="5" t="n">
        <v>80.70999999999999</v>
      </c>
      <c r="J16" s="5" t="n">
        <v>70.37</v>
      </c>
      <c r="K16" s="5" t="n">
        <v>237.09</v>
      </c>
      <c r="L16" s="5" t="n">
        <v>244.17</v>
      </c>
      <c r="M16" s="5" t="n">
        <v>7.08</v>
      </c>
      <c r="N16" s="5" t="inlineStr"/>
    </row>
    <row r="17">
      <c r="A17" s="5" t="inlineStr">
        <is>
          <t>2014-01</t>
        </is>
      </c>
      <c r="B17" s="5" t="inlineStr">
        <is>
          <t>enero 2014</t>
        </is>
      </c>
      <c r="C17" s="5" t="inlineStr">
        <is>
          <t>3</t>
        </is>
      </c>
      <c r="D17" s="5" t="inlineStr">
        <is>
          <t>0</t>
        </is>
      </c>
      <c r="E17" s="5" t="inlineStr">
        <is>
          <t>HATCH+LWPOLYLINE</t>
        </is>
      </c>
      <c r="F17" s="5" t="n">
        <v>20</v>
      </c>
      <c r="G17" s="5" t="n">
        <v>96.52</v>
      </c>
      <c r="H17" s="5" t="n">
        <v>16.68</v>
      </c>
      <c r="I17" s="5" t="n">
        <v>93.67</v>
      </c>
      <c r="J17" s="5" t="n">
        <v>76.98999999999999</v>
      </c>
      <c r="K17" s="5" t="n">
        <v>235.39</v>
      </c>
      <c r="L17" s="5" t="n">
        <v>237.36</v>
      </c>
      <c r="M17" s="5" t="n">
        <v>1.98</v>
      </c>
      <c r="N17" s="5" t="inlineStr"/>
    </row>
    <row r="18">
      <c r="A18" s="5" t="inlineStr">
        <is>
          <t>2014-01</t>
        </is>
      </c>
      <c r="B18" s="5" t="inlineStr">
        <is>
          <t>enero 2014</t>
        </is>
      </c>
      <c r="C18" s="5" t="inlineStr">
        <is>
          <t>3</t>
        </is>
      </c>
      <c r="D18" s="5" t="inlineStr">
        <is>
          <t>0</t>
        </is>
      </c>
      <c r="E18" s="5" t="inlineStr">
        <is>
          <t>HATCH+LWPOLYLINE</t>
        </is>
      </c>
      <c r="F18" s="5" t="n">
        <v>16</v>
      </c>
      <c r="G18" s="5" t="n">
        <v>10.3</v>
      </c>
      <c r="H18" s="5" t="n">
        <v>0</v>
      </c>
      <c r="I18" s="5" t="n">
        <v>22.13</v>
      </c>
      <c r="J18" s="5" t="n">
        <v>22.13</v>
      </c>
      <c r="K18" s="5" t="n">
        <v>236.25</v>
      </c>
      <c r="L18" s="5" t="n">
        <v>243.86</v>
      </c>
      <c r="M18" s="5" t="n">
        <v>7.62</v>
      </c>
      <c r="N18" s="5" t="inlineStr"/>
    </row>
    <row r="19">
      <c r="A19" s="5" t="inlineStr">
        <is>
          <t>2014-01</t>
        </is>
      </c>
      <c r="B19" s="5" t="inlineStr">
        <is>
          <t>enero 2014</t>
        </is>
      </c>
      <c r="C19" s="5" t="inlineStr">
        <is>
          <t>3</t>
        </is>
      </c>
      <c r="D19" s="5" t="inlineStr">
        <is>
          <t>0</t>
        </is>
      </c>
      <c r="E19" s="5" t="inlineStr">
        <is>
          <t>LWPOLYLINE</t>
        </is>
      </c>
      <c r="F19" s="5" t="n">
        <v>5</v>
      </c>
      <c r="G19" s="5" t="n">
        <v>1.91</v>
      </c>
      <c r="H19" s="5" t="n">
        <v>11.13</v>
      </c>
      <c r="I19" s="5" t="n">
        <v>16.68</v>
      </c>
      <c r="J19" s="5" t="n">
        <v>5.54</v>
      </c>
      <c r="K19" s="5" t="n">
        <v>237.16</v>
      </c>
      <c r="L19" s="5" t="n">
        <v>243.86</v>
      </c>
      <c r="M19" s="5" t="n">
        <v>6.7</v>
      </c>
      <c r="N19" s="5" t="inlineStr"/>
    </row>
    <row r="20">
      <c r="A20" s="5" t="inlineStr">
        <is>
          <t>2014-01</t>
        </is>
      </c>
      <c r="B20" s="5" t="inlineStr">
        <is>
          <t>enero 2014</t>
        </is>
      </c>
      <c r="C20" s="5" t="inlineStr">
        <is>
          <t>4</t>
        </is>
      </c>
      <c r="D20" s="5" t="inlineStr">
        <is>
          <t>0</t>
        </is>
      </c>
      <c r="E20" s="5" t="inlineStr">
        <is>
          <t>HATCH</t>
        </is>
      </c>
      <c r="F20" s="5" t="n">
        <v>14</v>
      </c>
      <c r="G20" s="5" t="n">
        <v>98.34999999999999</v>
      </c>
      <c r="H20" s="5" t="n">
        <v>23.32</v>
      </c>
      <c r="I20" s="5" t="n">
        <v>47.48</v>
      </c>
      <c r="J20" s="5" t="n">
        <v>24.16</v>
      </c>
      <c r="K20" s="5" t="n">
        <v>239.77</v>
      </c>
      <c r="L20" s="5" t="n">
        <v>246.36</v>
      </c>
      <c r="M20" s="5" t="n">
        <v>6.58</v>
      </c>
      <c r="N20" s="5" t="inlineStr"/>
    </row>
    <row r="21">
      <c r="A21" s="5" t="inlineStr">
        <is>
          <t>2014-01</t>
        </is>
      </c>
      <c r="B21" s="5" t="inlineStr">
        <is>
          <t>enero 2014</t>
        </is>
      </c>
      <c r="C21" s="5" t="inlineStr">
        <is>
          <t>4</t>
        </is>
      </c>
      <c r="D21" s="5" t="inlineStr">
        <is>
          <t>0</t>
        </is>
      </c>
      <c r="E21" s="5" t="inlineStr">
        <is>
          <t>HATCH</t>
        </is>
      </c>
      <c r="F21" s="5" t="n">
        <v>14</v>
      </c>
      <c r="G21" s="5" t="n">
        <v>34.87</v>
      </c>
      <c r="H21" s="5" t="n">
        <v>18.31</v>
      </c>
      <c r="I21" s="5" t="n">
        <v>32.5</v>
      </c>
      <c r="J21" s="5" t="n">
        <v>14.19</v>
      </c>
      <c r="K21" s="5" t="n">
        <v>239.77</v>
      </c>
      <c r="L21" s="5" t="n">
        <v>246.4</v>
      </c>
      <c r="M21" s="5" t="n">
        <v>6.62</v>
      </c>
      <c r="N21" s="5" t="inlineStr"/>
    </row>
    <row r="22">
      <c r="A22" s="5" t="inlineStr">
        <is>
          <t>2014-01</t>
        </is>
      </c>
      <c r="B22" s="5" t="inlineStr">
        <is>
          <t>enero 2014</t>
        </is>
      </c>
      <c r="C22" s="5" t="inlineStr">
        <is>
          <t>4</t>
        </is>
      </c>
      <c r="D22" s="5" t="inlineStr">
        <is>
          <t>0</t>
        </is>
      </c>
      <c r="E22" s="5" t="inlineStr">
        <is>
          <t>HATCH+LWPOLYLINE</t>
        </is>
      </c>
      <c r="F22" s="5" t="n">
        <v>26</v>
      </c>
      <c r="G22" s="5" t="n">
        <v>18.43</v>
      </c>
      <c r="H22" s="5" t="n">
        <v>38.51</v>
      </c>
      <c r="I22" s="5" t="n">
        <v>50.9</v>
      </c>
      <c r="J22" s="5" t="n">
        <v>12.39</v>
      </c>
      <c r="K22" s="5" t="n">
        <v>239.77</v>
      </c>
      <c r="L22" s="5" t="n">
        <v>246.25</v>
      </c>
      <c r="M22" s="5" t="n">
        <v>6.48</v>
      </c>
      <c r="N22" s="5" t="inlineStr"/>
    </row>
    <row r="23">
      <c r="A23" s="5" t="inlineStr">
        <is>
          <t>2014-01</t>
        </is>
      </c>
      <c r="B23" s="5" t="inlineStr">
        <is>
          <t>enero 2014</t>
        </is>
      </c>
      <c r="C23" s="5" t="inlineStr">
        <is>
          <t>4</t>
        </is>
      </c>
      <c r="D23" s="5" t="inlineStr">
        <is>
          <t>0</t>
        </is>
      </c>
      <c r="E23" s="5" t="inlineStr">
        <is>
          <t>HATCH+LWPOLYLINE</t>
        </is>
      </c>
      <c r="F23" s="5" t="n">
        <v>12</v>
      </c>
      <c r="G23" s="5" t="n">
        <v>1.43</v>
      </c>
      <c r="H23" s="5" t="n">
        <v>151.44</v>
      </c>
      <c r="I23" s="5" t="n">
        <v>154.08</v>
      </c>
      <c r="J23" s="5" t="n">
        <v>2.64</v>
      </c>
      <c r="K23" s="5" t="n">
        <v>243.13</v>
      </c>
      <c r="L23" s="5" t="n">
        <v>245.78</v>
      </c>
      <c r="M23" s="5" t="n">
        <v>2.66</v>
      </c>
      <c r="N23" s="5" t="inlineStr"/>
    </row>
    <row r="24">
      <c r="A24" s="5" t="inlineStr">
        <is>
          <t>2014-01</t>
        </is>
      </c>
      <c r="B24" s="5" t="inlineStr">
        <is>
          <t>enero 2014</t>
        </is>
      </c>
      <c r="C24" s="5" t="inlineStr">
        <is>
          <t>A</t>
        </is>
      </c>
      <c r="D24" s="5" t="inlineStr">
        <is>
          <t>0</t>
        </is>
      </c>
      <c r="E24" s="5" t="inlineStr">
        <is>
          <t>HATCH+LWPOLYLINE</t>
        </is>
      </c>
      <c r="F24" s="5" t="n">
        <v>32</v>
      </c>
      <c r="G24" s="5" t="n">
        <v>238.89</v>
      </c>
      <c r="H24" s="5" t="n">
        <v>291.52</v>
      </c>
      <c r="I24" s="5" t="n">
        <v>322.26</v>
      </c>
      <c r="J24" s="5" t="n">
        <v>30.74</v>
      </c>
      <c r="K24" s="5" t="n">
        <v>227.09</v>
      </c>
      <c r="L24" s="5" t="n">
        <v>240.63</v>
      </c>
      <c r="M24" s="5" t="n">
        <v>13.54</v>
      </c>
      <c r="N24" s="5" t="inlineStr"/>
    </row>
    <row r="25">
      <c r="A25" s="5" t="inlineStr">
        <is>
          <t>2014-01</t>
        </is>
      </c>
      <c r="B25" s="5" t="inlineStr">
        <is>
          <t>enero 2014</t>
        </is>
      </c>
      <c r="C25" s="5" t="inlineStr">
        <is>
          <t>A</t>
        </is>
      </c>
      <c r="D25" s="5" t="inlineStr">
        <is>
          <t>0</t>
        </is>
      </c>
      <c r="E25" s="5" t="inlineStr">
        <is>
          <t>HATCH</t>
        </is>
      </c>
      <c r="F25" s="5" t="n">
        <v>28</v>
      </c>
      <c r="G25" s="5" t="n">
        <v>107.94</v>
      </c>
      <c r="H25" s="5" t="n">
        <v>282.96</v>
      </c>
      <c r="I25" s="5" t="n">
        <v>298.42</v>
      </c>
      <c r="J25" s="5" t="n">
        <v>15.46</v>
      </c>
      <c r="K25" s="5" t="n">
        <v>227.04</v>
      </c>
      <c r="L25" s="5" t="n">
        <v>240.47</v>
      </c>
      <c r="M25" s="5" t="n">
        <v>13.44</v>
      </c>
      <c r="N25" s="5" t="inlineStr"/>
    </row>
    <row r="26">
      <c r="A26" s="5" t="inlineStr">
        <is>
          <t>2014-01</t>
        </is>
      </c>
      <c r="B26" s="5" t="inlineStr">
        <is>
          <t>enero 2014</t>
        </is>
      </c>
      <c r="C26" s="5" t="inlineStr">
        <is>
          <t>A</t>
        </is>
      </c>
      <c r="D26" s="5" t="inlineStr">
        <is>
          <t>0</t>
        </is>
      </c>
      <c r="E26" s="5" t="inlineStr">
        <is>
          <t>HATCH</t>
        </is>
      </c>
      <c r="F26" s="5" t="n">
        <v>22</v>
      </c>
      <c r="G26" s="5" t="n">
        <v>85.7</v>
      </c>
      <c r="H26" s="5" t="n">
        <v>274.62</v>
      </c>
      <c r="I26" s="5" t="n">
        <v>289.07</v>
      </c>
      <c r="J26" s="5" t="n">
        <v>14.44</v>
      </c>
      <c r="K26" s="5" t="n">
        <v>227.1</v>
      </c>
      <c r="L26" s="5" t="n">
        <v>240.37</v>
      </c>
      <c r="M26" s="5" t="n">
        <v>13.27</v>
      </c>
      <c r="N26" s="5" t="inlineStr"/>
    </row>
    <row r="27">
      <c r="A27" s="5" t="inlineStr">
        <is>
          <t>2014-01</t>
        </is>
      </c>
      <c r="B27" s="5" t="inlineStr">
        <is>
          <t>enero 2014</t>
        </is>
      </c>
      <c r="C27" s="5" t="inlineStr">
        <is>
          <t>A</t>
        </is>
      </c>
      <c r="D27" s="5" t="inlineStr">
        <is>
          <t>0</t>
        </is>
      </c>
      <c r="E27" s="5" t="inlineStr">
        <is>
          <t>HATCH</t>
        </is>
      </c>
      <c r="F27" s="5" t="n">
        <v>30</v>
      </c>
      <c r="G27" s="5" t="n">
        <v>26.3</v>
      </c>
      <c r="H27" s="5" t="n">
        <v>266.89</v>
      </c>
      <c r="I27" s="5" t="n">
        <v>282.99</v>
      </c>
      <c r="J27" s="5" t="n">
        <v>16.1</v>
      </c>
      <c r="K27" s="5" t="n">
        <v>228.25</v>
      </c>
      <c r="L27" s="5" t="n">
        <v>240.14</v>
      </c>
      <c r="M27" s="5" t="n">
        <v>11.89</v>
      </c>
      <c r="N27" s="5" t="inlineStr"/>
    </row>
    <row r="28">
      <c r="A28" s="8" t="inlineStr">
        <is>
          <t>2014-01</t>
        </is>
      </c>
      <c r="B28" s="8" t="inlineStr">
        <is>
          <t>enero 2014</t>
        </is>
      </c>
      <c r="C28" s="8" t="inlineStr">
        <is>
          <t>A</t>
        </is>
      </c>
      <c r="D28" s="8" t="inlineStr">
        <is>
          <t>texto</t>
        </is>
      </c>
      <c r="E28" s="8" t="inlineStr">
        <is>
          <t>HATCH</t>
        </is>
      </c>
      <c r="F28" s="8" t="n">
        <v>12</v>
      </c>
      <c r="G28" s="8" t="n">
        <v>23.87</v>
      </c>
      <c r="H28" s="8" t="n">
        <v>270.44</v>
      </c>
      <c r="I28" s="8" t="n">
        <v>281.19</v>
      </c>
      <c r="J28" s="8" t="n">
        <v>10.74</v>
      </c>
      <c r="K28" s="8" t="n">
        <v>231.2</v>
      </c>
      <c r="L28" s="8" t="n">
        <v>240.22</v>
      </c>
      <c r="M28" s="8" t="n">
        <v>9.02</v>
      </c>
      <c r="N28" s="8" t="inlineStr">
        <is>
          <t>SI</t>
        </is>
      </c>
    </row>
    <row r="29">
      <c r="A29" s="5" t="inlineStr">
        <is>
          <t>2014-01</t>
        </is>
      </c>
      <c r="B29" s="5" t="inlineStr">
        <is>
          <t>enero 2014</t>
        </is>
      </c>
      <c r="C29" s="5" t="inlineStr">
        <is>
          <t>A</t>
        </is>
      </c>
      <c r="D29" s="5" t="inlineStr">
        <is>
          <t>0</t>
        </is>
      </c>
      <c r="E29" s="5" t="inlineStr">
        <is>
          <t>HATCH+LWPOLYLINE</t>
        </is>
      </c>
      <c r="F29" s="5" t="n">
        <v>11</v>
      </c>
      <c r="G29" s="5" t="n">
        <v>14.27</v>
      </c>
      <c r="H29" s="5" t="n">
        <v>288.92</v>
      </c>
      <c r="I29" s="5" t="n">
        <v>298.57</v>
      </c>
      <c r="J29" s="5" t="n">
        <v>9.65</v>
      </c>
      <c r="K29" s="5" t="n">
        <v>227.08</v>
      </c>
      <c r="L29" s="5" t="n">
        <v>240.51</v>
      </c>
      <c r="M29" s="5" t="n">
        <v>13.42</v>
      </c>
      <c r="N29" s="5" t="inlineStr"/>
    </row>
    <row r="30">
      <c r="A30" s="5" t="inlineStr">
        <is>
          <t>2014-01</t>
        </is>
      </c>
      <c r="B30" s="5" t="inlineStr">
        <is>
          <t>enero 2014</t>
        </is>
      </c>
      <c r="C30" s="5" t="inlineStr">
        <is>
          <t>A</t>
        </is>
      </c>
      <c r="D30" s="5" t="inlineStr">
        <is>
          <t>0</t>
        </is>
      </c>
      <c r="E30" s="5" t="inlineStr">
        <is>
          <t>HATCH</t>
        </is>
      </c>
      <c r="F30" s="5" t="n">
        <v>12</v>
      </c>
      <c r="G30" s="5" t="n">
        <v>9.17</v>
      </c>
      <c r="H30" s="5" t="n">
        <v>264.3</v>
      </c>
      <c r="I30" s="5" t="n">
        <v>276.34</v>
      </c>
      <c r="J30" s="5" t="n">
        <v>12.03</v>
      </c>
      <c r="K30" s="5" t="n">
        <v>233.12</v>
      </c>
      <c r="L30" s="5" t="n">
        <v>240.08</v>
      </c>
      <c r="M30" s="5" t="n">
        <v>6.96</v>
      </c>
      <c r="N30" s="5" t="inlineStr"/>
    </row>
    <row r="31">
      <c r="A31" s="5" t="inlineStr">
        <is>
          <t>2014-01</t>
        </is>
      </c>
      <c r="B31" s="5" t="inlineStr">
        <is>
          <t>enero 2014</t>
        </is>
      </c>
      <c r="C31" s="5" t="inlineStr">
        <is>
          <t>B</t>
        </is>
      </c>
      <c r="D31" s="5" t="inlineStr">
        <is>
          <t>0</t>
        </is>
      </c>
      <c r="E31" s="5" t="inlineStr">
        <is>
          <t>HATCH+LWPOLYLINE</t>
        </is>
      </c>
      <c r="F31" s="5" t="n">
        <v>7</v>
      </c>
      <c r="G31" s="5" t="n">
        <v>66.08</v>
      </c>
      <c r="H31" s="5" t="n">
        <v>324.25</v>
      </c>
      <c r="I31" s="5" t="n">
        <v>357.99</v>
      </c>
      <c r="J31" s="5" t="n">
        <v>33.74</v>
      </c>
      <c r="K31" s="5" t="n">
        <v>232.54</v>
      </c>
      <c r="L31" s="5" t="n">
        <v>238.35</v>
      </c>
      <c r="M31" s="5" t="n">
        <v>5.81</v>
      </c>
      <c r="N31" s="5" t="inlineStr"/>
    </row>
    <row r="32">
      <c r="A32" s="5" t="inlineStr">
        <is>
          <t>2018-11</t>
        </is>
      </c>
      <c r="B32" s="5" t="inlineStr">
        <is>
          <t>junio 2018</t>
        </is>
      </c>
      <c r="C32" s="5" t="inlineStr">
        <is>
          <t>1</t>
        </is>
      </c>
      <c r="D32" s="5" t="inlineStr">
        <is>
          <t>0</t>
        </is>
      </c>
      <c r="E32" s="5" t="inlineStr">
        <is>
          <t>HATCH</t>
        </is>
      </c>
      <c r="F32" s="5" t="n">
        <v>94</v>
      </c>
      <c r="G32" s="5" t="n">
        <v>1246.04</v>
      </c>
      <c r="H32" s="5" t="n">
        <v>132.41</v>
      </c>
      <c r="I32" s="5" t="n">
        <v>239.51</v>
      </c>
      <c r="J32" s="5" t="n">
        <v>107.11</v>
      </c>
      <c r="K32" s="5" t="n">
        <v>225.95</v>
      </c>
      <c r="L32" s="5" t="n">
        <v>239.92</v>
      </c>
      <c r="M32" s="5" t="n">
        <v>13.97</v>
      </c>
      <c r="N32" s="5" t="inlineStr"/>
    </row>
    <row r="33">
      <c r="A33" s="5" t="inlineStr">
        <is>
          <t>2018-11</t>
        </is>
      </c>
      <c r="B33" s="5" t="inlineStr">
        <is>
          <t>junio 2018</t>
        </is>
      </c>
      <c r="C33" s="5" t="inlineStr">
        <is>
          <t>1</t>
        </is>
      </c>
      <c r="D33" s="5" t="inlineStr">
        <is>
          <t>0</t>
        </is>
      </c>
      <c r="E33" s="5" t="inlineStr">
        <is>
          <t>HATCH</t>
        </is>
      </c>
      <c r="F33" s="5" t="n">
        <v>36</v>
      </c>
      <c r="G33" s="5" t="n">
        <v>326.03</v>
      </c>
      <c r="H33" s="5" t="n">
        <v>102.38</v>
      </c>
      <c r="I33" s="5" t="n">
        <v>140.51</v>
      </c>
      <c r="J33" s="5" t="n">
        <v>38.13</v>
      </c>
      <c r="K33" s="5" t="n">
        <v>226.28</v>
      </c>
      <c r="L33" s="5" t="n">
        <v>239.72</v>
      </c>
      <c r="M33" s="5" t="n">
        <v>13.44</v>
      </c>
      <c r="N33" s="5" t="inlineStr"/>
    </row>
    <row r="34">
      <c r="A34" s="5" t="inlineStr">
        <is>
          <t>2018-11</t>
        </is>
      </c>
      <c r="B34" s="5" t="inlineStr">
        <is>
          <t>junio 2018</t>
        </is>
      </c>
      <c r="C34" s="5" t="inlineStr">
        <is>
          <t>1</t>
        </is>
      </c>
      <c r="D34" s="5" t="inlineStr">
        <is>
          <t>0</t>
        </is>
      </c>
      <c r="E34" s="5" t="inlineStr">
        <is>
          <t>HATCH</t>
        </is>
      </c>
      <c r="F34" s="5" t="n">
        <v>16</v>
      </c>
      <c r="G34" s="5" t="n">
        <v>247.73</v>
      </c>
      <c r="H34" s="5" t="n">
        <v>81.42</v>
      </c>
      <c r="I34" s="5" t="n">
        <v>114.99</v>
      </c>
      <c r="J34" s="5" t="n">
        <v>33.57</v>
      </c>
      <c r="K34" s="5" t="n">
        <v>226.57</v>
      </c>
      <c r="L34" s="5" t="n">
        <v>237.79</v>
      </c>
      <c r="M34" s="5" t="n">
        <v>11.21</v>
      </c>
      <c r="N34" s="5" t="inlineStr"/>
    </row>
    <row r="35">
      <c r="A35" s="8" t="inlineStr">
        <is>
          <t>2018-11</t>
        </is>
      </c>
      <c r="B35" s="8" t="inlineStr">
        <is>
          <t>junio 2018</t>
        </is>
      </c>
      <c r="C35" s="8" t="inlineStr">
        <is>
          <t>1</t>
        </is>
      </c>
      <c r="D35" s="8" t="inlineStr">
        <is>
          <t>texto</t>
        </is>
      </c>
      <c r="E35" s="8" t="inlineStr">
        <is>
          <t>HATCH</t>
        </is>
      </c>
      <c r="F35" s="8" t="n">
        <v>14</v>
      </c>
      <c r="G35" s="8" t="n">
        <v>72.73</v>
      </c>
      <c r="H35" s="8" t="n">
        <v>65.08</v>
      </c>
      <c r="I35" s="8" t="n">
        <v>89.17</v>
      </c>
      <c r="J35" s="8" t="n">
        <v>24.1</v>
      </c>
      <c r="K35" s="8" t="n">
        <v>226.64</v>
      </c>
      <c r="L35" s="8" t="n">
        <v>236.03</v>
      </c>
      <c r="M35" s="8" t="n">
        <v>9.4</v>
      </c>
      <c r="N35" s="8" t="inlineStr">
        <is>
          <t>SI</t>
        </is>
      </c>
    </row>
    <row r="36">
      <c r="A36" s="5" t="inlineStr">
        <is>
          <t>2018-11</t>
        </is>
      </c>
      <c r="B36" s="5" t="inlineStr">
        <is>
          <t>junio 2018</t>
        </is>
      </c>
      <c r="C36" s="5" t="inlineStr">
        <is>
          <t>1</t>
        </is>
      </c>
      <c r="D36" s="5" t="inlineStr">
        <is>
          <t>0</t>
        </is>
      </c>
      <c r="E36" s="5" t="inlineStr">
        <is>
          <t>HATCH</t>
        </is>
      </c>
      <c r="F36" s="5" t="n">
        <v>30</v>
      </c>
      <c r="G36" s="5" t="n">
        <v>72.14</v>
      </c>
      <c r="H36" s="5" t="n">
        <v>58.62</v>
      </c>
      <c r="I36" s="5" t="n">
        <v>83.63</v>
      </c>
      <c r="J36" s="5" t="n">
        <v>25.01</v>
      </c>
      <c r="K36" s="5" t="n">
        <v>226.67</v>
      </c>
      <c r="L36" s="5" t="n">
        <v>234.65</v>
      </c>
      <c r="M36" s="5" t="n">
        <v>7.98</v>
      </c>
      <c r="N36" s="5" t="inlineStr"/>
    </row>
    <row r="37">
      <c r="A37" s="5" t="inlineStr">
        <is>
          <t>2018-11</t>
        </is>
      </c>
      <c r="B37" s="5" t="inlineStr">
        <is>
          <t>junio 2018</t>
        </is>
      </c>
      <c r="C37" s="5" t="inlineStr">
        <is>
          <t>1</t>
        </is>
      </c>
      <c r="D37" s="5" t="inlineStr">
        <is>
          <t>0</t>
        </is>
      </c>
      <c r="E37" s="5" t="inlineStr">
        <is>
          <t>HATCH</t>
        </is>
      </c>
      <c r="F37" s="5" t="n">
        <v>25</v>
      </c>
      <c r="G37" s="5" t="n">
        <v>32.31</v>
      </c>
      <c r="H37" s="5" t="n">
        <v>128.29</v>
      </c>
      <c r="I37" s="5" t="n">
        <v>140</v>
      </c>
      <c r="J37" s="5" t="n">
        <v>11.71</v>
      </c>
      <c r="K37" s="5" t="n">
        <v>226.45</v>
      </c>
      <c r="L37" s="5" t="n">
        <v>239.71</v>
      </c>
      <c r="M37" s="5" t="n">
        <v>13.26</v>
      </c>
      <c r="N37" s="5" t="inlineStr"/>
    </row>
    <row r="38">
      <c r="A38" s="5" t="inlineStr">
        <is>
          <t>2018-11</t>
        </is>
      </c>
      <c r="B38" s="5" t="inlineStr">
        <is>
          <t>junio 2018</t>
        </is>
      </c>
      <c r="C38" s="5" t="inlineStr">
        <is>
          <t>1</t>
        </is>
      </c>
      <c r="D38" s="5" t="inlineStr">
        <is>
          <t>0</t>
        </is>
      </c>
      <c r="E38" s="5" t="inlineStr">
        <is>
          <t>HATCH</t>
        </is>
      </c>
      <c r="F38" s="5" t="n">
        <v>4</v>
      </c>
      <c r="G38" s="5" t="n">
        <v>0.19</v>
      </c>
      <c r="H38" s="5" t="n">
        <v>140</v>
      </c>
      <c r="I38" s="5" t="n">
        <v>140.51</v>
      </c>
      <c r="J38" s="5" t="n">
        <v>0.51</v>
      </c>
      <c r="K38" s="5" t="n">
        <v>226.28</v>
      </c>
      <c r="L38" s="5" t="n">
        <v>227.12</v>
      </c>
      <c r="M38" s="5" t="n">
        <v>0.84</v>
      </c>
      <c r="N38" s="5" t="inlineStr"/>
    </row>
    <row r="39">
      <c r="A39" s="5" t="inlineStr">
        <is>
          <t>2018-11</t>
        </is>
      </c>
      <c r="B39" s="5" t="inlineStr">
        <is>
          <t>junio 2018</t>
        </is>
      </c>
      <c r="C39" s="5" t="inlineStr">
        <is>
          <t>2</t>
        </is>
      </c>
      <c r="D39" s="5" t="inlineStr">
        <is>
          <t>0</t>
        </is>
      </c>
      <c r="E39" s="5" t="inlineStr">
        <is>
          <t>HATCH</t>
        </is>
      </c>
      <c r="F39" s="5" t="n">
        <v>46</v>
      </c>
      <c r="G39" s="5" t="n">
        <v>689.36</v>
      </c>
      <c r="H39" s="5" t="n">
        <v>115.64</v>
      </c>
      <c r="I39" s="5" t="n">
        <v>193.28</v>
      </c>
      <c r="J39" s="5" t="n">
        <v>77.64</v>
      </c>
      <c r="K39" s="5" t="n">
        <v>231.58</v>
      </c>
      <c r="L39" s="5" t="n">
        <v>243.51</v>
      </c>
      <c r="M39" s="5" t="n">
        <v>11.93</v>
      </c>
      <c r="N39" s="5" t="inlineStr"/>
    </row>
    <row r="40">
      <c r="A40" s="5" t="inlineStr">
        <is>
          <t>2018-11</t>
        </is>
      </c>
      <c r="B40" s="5" t="inlineStr">
        <is>
          <t>junio 2018</t>
        </is>
      </c>
      <c r="C40" s="5" t="inlineStr">
        <is>
          <t>2</t>
        </is>
      </c>
      <c r="D40" s="5" t="inlineStr">
        <is>
          <t>0</t>
        </is>
      </c>
      <c r="E40" s="5" t="inlineStr">
        <is>
          <t>HATCH</t>
        </is>
      </c>
      <c r="F40" s="5" t="n">
        <v>20</v>
      </c>
      <c r="G40" s="5" t="n">
        <v>74.14</v>
      </c>
      <c r="H40" s="5" t="n">
        <v>162.62</v>
      </c>
      <c r="I40" s="5" t="n">
        <v>233.94</v>
      </c>
      <c r="J40" s="5" t="n">
        <v>71.31999999999999</v>
      </c>
      <c r="K40" s="5" t="n">
        <v>231.58</v>
      </c>
      <c r="L40" s="5" t="n">
        <v>236.8</v>
      </c>
      <c r="M40" s="5" t="n">
        <v>5.22</v>
      </c>
      <c r="N40" s="5" t="inlineStr"/>
    </row>
    <row r="41">
      <c r="A41" s="5" t="inlineStr">
        <is>
          <t>2018-11</t>
        </is>
      </c>
      <c r="B41" s="5" t="inlineStr">
        <is>
          <t>junio 2018</t>
        </is>
      </c>
      <c r="C41" s="5" t="inlineStr">
        <is>
          <t>3</t>
        </is>
      </c>
      <c r="D41" s="5" t="inlineStr">
        <is>
          <t>0</t>
        </is>
      </c>
      <c r="E41" s="5" t="inlineStr">
        <is>
          <t>HATCH</t>
        </is>
      </c>
      <c r="F41" s="5" t="n">
        <v>44</v>
      </c>
      <c r="G41" s="5" t="n">
        <v>417.08</v>
      </c>
      <c r="H41" s="5" t="n">
        <v>10.34</v>
      </c>
      <c r="I41" s="5" t="n">
        <v>80.70999999999999</v>
      </c>
      <c r="J41" s="5" t="n">
        <v>70.37</v>
      </c>
      <c r="K41" s="5" t="n">
        <v>237.09</v>
      </c>
      <c r="L41" s="5" t="n">
        <v>244.17</v>
      </c>
      <c r="M41" s="5" t="n">
        <v>7.08</v>
      </c>
      <c r="N41" s="5" t="inlineStr"/>
    </row>
    <row r="42">
      <c r="A42" s="5" t="inlineStr">
        <is>
          <t>2018-11</t>
        </is>
      </c>
      <c r="B42" s="5" t="inlineStr">
        <is>
          <t>junio 2018</t>
        </is>
      </c>
      <c r="C42" s="5" t="inlineStr">
        <is>
          <t>3</t>
        </is>
      </c>
      <c r="D42" s="5" t="inlineStr">
        <is>
          <t>0</t>
        </is>
      </c>
      <c r="E42" s="5" t="inlineStr">
        <is>
          <t>HATCH</t>
        </is>
      </c>
      <c r="F42" s="5" t="n">
        <v>20</v>
      </c>
      <c r="G42" s="5" t="n">
        <v>96.52</v>
      </c>
      <c r="H42" s="5" t="n">
        <v>16.68</v>
      </c>
      <c r="I42" s="5" t="n">
        <v>93.67</v>
      </c>
      <c r="J42" s="5" t="n">
        <v>76.98999999999999</v>
      </c>
      <c r="K42" s="5" t="n">
        <v>235.39</v>
      </c>
      <c r="L42" s="5" t="n">
        <v>237.36</v>
      </c>
      <c r="M42" s="5" t="n">
        <v>1.98</v>
      </c>
      <c r="N42" s="5" t="inlineStr"/>
    </row>
    <row r="43">
      <c r="A43" s="5" t="inlineStr">
        <is>
          <t>2018-11</t>
        </is>
      </c>
      <c r="B43" s="5" t="inlineStr">
        <is>
          <t>junio 2018</t>
        </is>
      </c>
      <c r="C43" s="5" t="inlineStr">
        <is>
          <t>3</t>
        </is>
      </c>
      <c r="D43" s="5" t="inlineStr">
        <is>
          <t>0</t>
        </is>
      </c>
      <c r="E43" s="5" t="inlineStr">
        <is>
          <t>HATCH</t>
        </is>
      </c>
      <c r="F43" s="5" t="n">
        <v>32</v>
      </c>
      <c r="G43" s="5" t="n">
        <v>10.3</v>
      </c>
      <c r="H43" s="5" t="n">
        <v>0</v>
      </c>
      <c r="I43" s="5" t="n">
        <v>22.13</v>
      </c>
      <c r="J43" s="5" t="n">
        <v>22.13</v>
      </c>
      <c r="K43" s="5" t="n">
        <v>236.25</v>
      </c>
      <c r="L43" s="5" t="n">
        <v>243.86</v>
      </c>
      <c r="M43" s="5" t="n">
        <v>7.62</v>
      </c>
      <c r="N43" s="5" t="inlineStr"/>
    </row>
    <row r="44">
      <c r="A44" s="5" t="inlineStr">
        <is>
          <t>2018-11</t>
        </is>
      </c>
      <c r="B44" s="5" t="inlineStr">
        <is>
          <t>junio 2018</t>
        </is>
      </c>
      <c r="C44" s="5" t="inlineStr">
        <is>
          <t>4</t>
        </is>
      </c>
      <c r="D44" s="5" t="inlineStr">
        <is>
          <t>0</t>
        </is>
      </c>
      <c r="E44" s="5" t="inlineStr">
        <is>
          <t>HATCH</t>
        </is>
      </c>
      <c r="F44" s="5" t="n">
        <v>34</v>
      </c>
      <c r="G44" s="5" t="n">
        <v>333.18</v>
      </c>
      <c r="H44" s="5" t="n">
        <v>3.08</v>
      </c>
      <c r="I44" s="5" t="n">
        <v>77.25</v>
      </c>
      <c r="J44" s="5" t="n">
        <v>74.17</v>
      </c>
      <c r="K44" s="5" t="n">
        <v>235.24</v>
      </c>
      <c r="L44" s="5" t="n">
        <v>246.52</v>
      </c>
      <c r="M44" s="5" t="n">
        <v>11.28</v>
      </c>
      <c r="N44" s="5" t="inlineStr"/>
    </row>
    <row r="45">
      <c r="A45" s="5" t="inlineStr">
        <is>
          <t>2018-11</t>
        </is>
      </c>
      <c r="B45" s="5" t="inlineStr">
        <is>
          <t>junio 2018</t>
        </is>
      </c>
      <c r="C45" s="5" t="inlineStr">
        <is>
          <t>4</t>
        </is>
      </c>
      <c r="D45" s="5" t="inlineStr">
        <is>
          <t>0</t>
        </is>
      </c>
      <c r="E45" s="5" t="inlineStr">
        <is>
          <t>HATCH</t>
        </is>
      </c>
      <c r="F45" s="5" t="n">
        <v>14</v>
      </c>
      <c r="G45" s="5" t="n">
        <v>98.34999999999999</v>
      </c>
      <c r="H45" s="5" t="n">
        <v>31.23</v>
      </c>
      <c r="I45" s="5" t="n">
        <v>55.39</v>
      </c>
      <c r="J45" s="5" t="n">
        <v>24.16</v>
      </c>
      <c r="K45" s="5" t="n">
        <v>239.77</v>
      </c>
      <c r="L45" s="5" t="n">
        <v>246.36</v>
      </c>
      <c r="M45" s="5" t="n">
        <v>6.58</v>
      </c>
      <c r="N45" s="5" t="inlineStr"/>
    </row>
    <row r="46">
      <c r="A46" s="5" t="inlineStr">
        <is>
          <t>2018-11</t>
        </is>
      </c>
      <c r="B46" s="5" t="inlineStr">
        <is>
          <t>junio 2018</t>
        </is>
      </c>
      <c r="C46" s="5" t="inlineStr">
        <is>
          <t>4</t>
        </is>
      </c>
      <c r="D46" s="5" t="inlineStr">
        <is>
          <t>0</t>
        </is>
      </c>
      <c r="E46" s="5" t="inlineStr">
        <is>
          <t>HATCH</t>
        </is>
      </c>
      <c r="F46" s="5" t="n">
        <v>28</v>
      </c>
      <c r="G46" s="5" t="n">
        <v>79.91</v>
      </c>
      <c r="H46" s="5" t="n">
        <v>-2.21</v>
      </c>
      <c r="I46" s="5" t="n">
        <v>15.6</v>
      </c>
      <c r="J46" s="5" t="n">
        <v>17.81</v>
      </c>
      <c r="K46" s="5" t="n">
        <v>235.55</v>
      </c>
      <c r="L46" s="5" t="n">
        <v>246.54</v>
      </c>
      <c r="M46" s="5" t="n">
        <v>10.99</v>
      </c>
      <c r="N46" s="5" t="inlineStr"/>
    </row>
    <row r="47">
      <c r="A47" s="5" t="inlineStr">
        <is>
          <t>2018-11</t>
        </is>
      </c>
      <c r="B47" s="5" t="inlineStr">
        <is>
          <t>junio 2018</t>
        </is>
      </c>
      <c r="C47" s="5" t="inlineStr">
        <is>
          <t>4</t>
        </is>
      </c>
      <c r="D47" s="5" t="inlineStr">
        <is>
          <t>0</t>
        </is>
      </c>
      <c r="E47" s="5" t="inlineStr">
        <is>
          <t>HATCH</t>
        </is>
      </c>
      <c r="F47" s="5" t="n">
        <v>28</v>
      </c>
      <c r="G47" s="5" t="n">
        <v>55.15</v>
      </c>
      <c r="H47" s="5" t="n">
        <v>21.04</v>
      </c>
      <c r="I47" s="5" t="n">
        <v>34.93</v>
      </c>
      <c r="J47" s="5" t="n">
        <v>13.89</v>
      </c>
      <c r="K47" s="5" t="n">
        <v>239.64</v>
      </c>
      <c r="L47" s="5" t="n">
        <v>246.44</v>
      </c>
      <c r="M47" s="5" t="n">
        <v>6.79</v>
      </c>
      <c r="N47" s="5" t="inlineStr"/>
    </row>
    <row r="48">
      <c r="A48" s="5" t="inlineStr">
        <is>
          <t>2018-11</t>
        </is>
      </c>
      <c r="B48" s="5" t="inlineStr">
        <is>
          <t>junio 2018</t>
        </is>
      </c>
      <c r="C48" s="5" t="inlineStr">
        <is>
          <t>4</t>
        </is>
      </c>
      <c r="D48" s="5" t="inlineStr">
        <is>
          <t>0</t>
        </is>
      </c>
      <c r="E48" s="5" t="inlineStr">
        <is>
          <t>HATCH</t>
        </is>
      </c>
      <c r="F48" s="5" t="n">
        <v>14</v>
      </c>
      <c r="G48" s="5" t="n">
        <v>34.87</v>
      </c>
      <c r="H48" s="5" t="n">
        <v>26.22</v>
      </c>
      <c r="I48" s="5" t="n">
        <v>40.4</v>
      </c>
      <c r="J48" s="5" t="n">
        <v>14.19</v>
      </c>
      <c r="K48" s="5" t="n">
        <v>239.77</v>
      </c>
      <c r="L48" s="5" t="n">
        <v>246.4</v>
      </c>
      <c r="M48" s="5" t="n">
        <v>6.62</v>
      </c>
      <c r="N48" s="5" t="inlineStr"/>
    </row>
    <row r="49">
      <c r="A49" s="5" t="inlineStr">
        <is>
          <t>2018-11</t>
        </is>
      </c>
      <c r="B49" s="5" t="inlineStr">
        <is>
          <t>junio 2018</t>
        </is>
      </c>
      <c r="C49" s="5" t="inlineStr">
        <is>
          <t>4</t>
        </is>
      </c>
      <c r="D49" s="5" t="inlineStr">
        <is>
          <t>0</t>
        </is>
      </c>
      <c r="E49" s="5" t="inlineStr">
        <is>
          <t>HATCH</t>
        </is>
      </c>
      <c r="F49" s="5" t="n">
        <v>26</v>
      </c>
      <c r="G49" s="5" t="n">
        <v>18.43</v>
      </c>
      <c r="H49" s="5" t="n">
        <v>46.42</v>
      </c>
      <c r="I49" s="5" t="n">
        <v>58.81</v>
      </c>
      <c r="J49" s="5" t="n">
        <v>12.39</v>
      </c>
      <c r="K49" s="5" t="n">
        <v>239.77</v>
      </c>
      <c r="L49" s="5" t="n">
        <v>246.25</v>
      </c>
      <c r="M49" s="5" t="n">
        <v>6.48</v>
      </c>
      <c r="N49" s="5" t="inlineStr"/>
    </row>
    <row r="50">
      <c r="A50" s="5" t="inlineStr">
        <is>
          <t>2018-11</t>
        </is>
      </c>
      <c r="B50" s="5" t="inlineStr">
        <is>
          <t>junio 2018</t>
        </is>
      </c>
      <c r="C50" s="5" t="inlineStr">
        <is>
          <t>4</t>
        </is>
      </c>
      <c r="D50" s="5" t="inlineStr">
        <is>
          <t>0</t>
        </is>
      </c>
      <c r="E50" s="5" t="inlineStr">
        <is>
          <t>HATCH</t>
        </is>
      </c>
      <c r="F50" s="5" t="n">
        <v>12</v>
      </c>
      <c r="G50" s="5" t="n">
        <v>1.43</v>
      </c>
      <c r="H50" s="5" t="n">
        <v>159.35</v>
      </c>
      <c r="I50" s="5" t="n">
        <v>161.99</v>
      </c>
      <c r="J50" s="5" t="n">
        <v>2.64</v>
      </c>
      <c r="K50" s="5" t="n">
        <v>243.13</v>
      </c>
      <c r="L50" s="5" t="n">
        <v>245.78</v>
      </c>
      <c r="M50" s="5" t="n">
        <v>2.66</v>
      </c>
      <c r="N50" s="5" t="inlineStr"/>
    </row>
    <row r="51">
      <c r="A51" s="5" t="inlineStr">
        <is>
          <t>2018-11</t>
        </is>
      </c>
      <c r="B51" s="5" t="inlineStr">
        <is>
          <t>junio 2018</t>
        </is>
      </c>
      <c r="C51" s="5" t="inlineStr">
        <is>
          <t>A</t>
        </is>
      </c>
      <c r="D51" s="5" t="inlineStr">
        <is>
          <t>0</t>
        </is>
      </c>
      <c r="E51" s="5" t="inlineStr">
        <is>
          <t>HATCH</t>
        </is>
      </c>
      <c r="F51" s="5" t="n">
        <v>32</v>
      </c>
      <c r="G51" s="5" t="n">
        <v>238.89</v>
      </c>
      <c r="H51" s="5" t="n">
        <v>291.52</v>
      </c>
      <c r="I51" s="5" t="n">
        <v>322.26</v>
      </c>
      <c r="J51" s="5" t="n">
        <v>30.74</v>
      </c>
      <c r="K51" s="5" t="n">
        <v>227.09</v>
      </c>
      <c r="L51" s="5" t="n">
        <v>240.63</v>
      </c>
      <c r="M51" s="5" t="n">
        <v>13.54</v>
      </c>
      <c r="N51" s="5" t="inlineStr"/>
    </row>
    <row r="52">
      <c r="A52" s="5" t="inlineStr">
        <is>
          <t>2018-11</t>
        </is>
      </c>
      <c r="B52" s="5" t="inlineStr">
        <is>
          <t>junio 2018</t>
        </is>
      </c>
      <c r="C52" s="5" t="inlineStr">
        <is>
          <t>A</t>
        </is>
      </c>
      <c r="D52" s="5" t="inlineStr">
        <is>
          <t>0</t>
        </is>
      </c>
      <c r="E52" s="5" t="inlineStr">
        <is>
          <t>HATCH</t>
        </is>
      </c>
      <c r="F52" s="5" t="n">
        <v>28</v>
      </c>
      <c r="G52" s="5" t="n">
        <v>107.94</v>
      </c>
      <c r="H52" s="5" t="n">
        <v>282.96</v>
      </c>
      <c r="I52" s="5" t="n">
        <v>298.42</v>
      </c>
      <c r="J52" s="5" t="n">
        <v>15.46</v>
      </c>
      <c r="K52" s="5" t="n">
        <v>227.04</v>
      </c>
      <c r="L52" s="5" t="n">
        <v>240.47</v>
      </c>
      <c r="M52" s="5" t="n">
        <v>13.44</v>
      </c>
      <c r="N52" s="5" t="inlineStr"/>
    </row>
    <row r="53">
      <c r="A53" s="5" t="inlineStr">
        <is>
          <t>2018-11</t>
        </is>
      </c>
      <c r="B53" s="5" t="inlineStr">
        <is>
          <t>junio 2018</t>
        </is>
      </c>
      <c r="C53" s="5" t="inlineStr">
        <is>
          <t>A</t>
        </is>
      </c>
      <c r="D53" s="5" t="inlineStr">
        <is>
          <t>0</t>
        </is>
      </c>
      <c r="E53" s="5" t="inlineStr">
        <is>
          <t>HATCH</t>
        </is>
      </c>
      <c r="F53" s="5" t="n">
        <v>22</v>
      </c>
      <c r="G53" s="5" t="n">
        <v>85.7</v>
      </c>
      <c r="H53" s="5" t="n">
        <v>274.62</v>
      </c>
      <c r="I53" s="5" t="n">
        <v>289.07</v>
      </c>
      <c r="J53" s="5" t="n">
        <v>14.44</v>
      </c>
      <c r="K53" s="5" t="n">
        <v>227.1</v>
      </c>
      <c r="L53" s="5" t="n">
        <v>240.37</v>
      </c>
      <c r="M53" s="5" t="n">
        <v>13.27</v>
      </c>
      <c r="N53" s="5" t="inlineStr"/>
    </row>
    <row r="54">
      <c r="A54" s="5" t="inlineStr">
        <is>
          <t>2018-11</t>
        </is>
      </c>
      <c r="B54" s="5" t="inlineStr">
        <is>
          <t>junio 2018</t>
        </is>
      </c>
      <c r="C54" s="5" t="inlineStr">
        <is>
          <t>A</t>
        </is>
      </c>
      <c r="D54" s="5" t="inlineStr">
        <is>
          <t>0</t>
        </is>
      </c>
      <c r="E54" s="5" t="inlineStr">
        <is>
          <t>HATCH</t>
        </is>
      </c>
      <c r="F54" s="5" t="n">
        <v>30</v>
      </c>
      <c r="G54" s="5" t="n">
        <v>41.2</v>
      </c>
      <c r="H54" s="5" t="n">
        <v>262.94</v>
      </c>
      <c r="I54" s="5" t="n">
        <v>283.16</v>
      </c>
      <c r="J54" s="5" t="n">
        <v>20.22</v>
      </c>
      <c r="K54" s="5" t="n">
        <v>228.02</v>
      </c>
      <c r="L54" s="5" t="n">
        <v>240.03</v>
      </c>
      <c r="M54" s="5" t="n">
        <v>12.01</v>
      </c>
      <c r="N54" s="5" t="inlineStr"/>
    </row>
    <row r="55">
      <c r="A55" s="5" t="inlineStr">
        <is>
          <t>2018-11</t>
        </is>
      </c>
      <c r="B55" s="5" t="inlineStr">
        <is>
          <t>junio 2018</t>
        </is>
      </c>
      <c r="C55" s="5" t="inlineStr">
        <is>
          <t>A</t>
        </is>
      </c>
      <c r="D55" s="5" t="inlineStr">
        <is>
          <t>0</t>
        </is>
      </c>
      <c r="E55" s="5" t="inlineStr">
        <is>
          <t>HATCH</t>
        </is>
      </c>
      <c r="F55" s="5" t="n">
        <v>30</v>
      </c>
      <c r="G55" s="5" t="n">
        <v>26.3</v>
      </c>
      <c r="H55" s="5" t="n">
        <v>266.89</v>
      </c>
      <c r="I55" s="5" t="n">
        <v>282.99</v>
      </c>
      <c r="J55" s="5" t="n">
        <v>16.1</v>
      </c>
      <c r="K55" s="5" t="n">
        <v>228.25</v>
      </c>
      <c r="L55" s="5" t="n">
        <v>240.14</v>
      </c>
      <c r="M55" s="5" t="n">
        <v>11.89</v>
      </c>
      <c r="N55" s="5" t="inlineStr"/>
    </row>
    <row r="56">
      <c r="A56" s="8" t="inlineStr">
        <is>
          <t>2018-11</t>
        </is>
      </c>
      <c r="B56" s="8" t="inlineStr">
        <is>
          <t>junio 2018</t>
        </is>
      </c>
      <c r="C56" s="8" t="inlineStr">
        <is>
          <t>A</t>
        </is>
      </c>
      <c r="D56" s="8" t="inlineStr">
        <is>
          <t>texto</t>
        </is>
      </c>
      <c r="E56" s="8" t="inlineStr">
        <is>
          <t>HATCH</t>
        </is>
      </c>
      <c r="F56" s="8" t="n">
        <v>12</v>
      </c>
      <c r="G56" s="8" t="n">
        <v>23.87</v>
      </c>
      <c r="H56" s="8" t="n">
        <v>270.44</v>
      </c>
      <c r="I56" s="8" t="n">
        <v>281.19</v>
      </c>
      <c r="J56" s="8" t="n">
        <v>10.74</v>
      </c>
      <c r="K56" s="8" t="n">
        <v>231.2</v>
      </c>
      <c r="L56" s="8" t="n">
        <v>240.22</v>
      </c>
      <c r="M56" s="8" t="n">
        <v>9.02</v>
      </c>
      <c r="N56" s="8" t="inlineStr">
        <is>
          <t>SI</t>
        </is>
      </c>
    </row>
    <row r="57">
      <c r="A57" s="5" t="inlineStr">
        <is>
          <t>2018-11</t>
        </is>
      </c>
      <c r="B57" s="5" t="inlineStr">
        <is>
          <t>junio 2018</t>
        </is>
      </c>
      <c r="C57" s="5" t="inlineStr">
        <is>
          <t>A</t>
        </is>
      </c>
      <c r="D57" s="5" t="inlineStr">
        <is>
          <t>0</t>
        </is>
      </c>
      <c r="E57" s="5" t="inlineStr">
        <is>
          <t>HATCH</t>
        </is>
      </c>
      <c r="F57" s="5" t="n">
        <v>18</v>
      </c>
      <c r="G57" s="5" t="n">
        <v>17.45</v>
      </c>
      <c r="H57" s="5" t="n">
        <v>261.87</v>
      </c>
      <c r="I57" s="5" t="n">
        <v>282.36</v>
      </c>
      <c r="J57" s="5" t="n">
        <v>20.48</v>
      </c>
      <c r="K57" s="5" t="n">
        <v>228.26</v>
      </c>
      <c r="L57" s="5" t="n">
        <v>240.01</v>
      </c>
      <c r="M57" s="5" t="n">
        <v>11.75</v>
      </c>
      <c r="N57" s="5" t="inlineStr"/>
    </row>
    <row r="58">
      <c r="A58" s="5" t="inlineStr">
        <is>
          <t>2018-11</t>
        </is>
      </c>
      <c r="B58" s="5" t="inlineStr">
        <is>
          <t>junio 2018</t>
        </is>
      </c>
      <c r="C58" s="5" t="inlineStr">
        <is>
          <t>A</t>
        </is>
      </c>
      <c r="D58" s="5" t="inlineStr">
        <is>
          <t>0</t>
        </is>
      </c>
      <c r="E58" s="5" t="inlineStr">
        <is>
          <t>HATCH</t>
        </is>
      </c>
      <c r="F58" s="5" t="n">
        <v>22</v>
      </c>
      <c r="G58" s="5" t="n">
        <v>14.27</v>
      </c>
      <c r="H58" s="5" t="n">
        <v>288.92</v>
      </c>
      <c r="I58" s="5" t="n">
        <v>298.57</v>
      </c>
      <c r="J58" s="5" t="n">
        <v>9.65</v>
      </c>
      <c r="K58" s="5" t="n">
        <v>227.08</v>
      </c>
      <c r="L58" s="5" t="n">
        <v>240.51</v>
      </c>
      <c r="M58" s="5" t="n">
        <v>13.42</v>
      </c>
      <c r="N58" s="5" t="inlineStr"/>
    </row>
    <row r="59">
      <c r="A59" s="5" t="inlineStr">
        <is>
          <t>2018-11</t>
        </is>
      </c>
      <c r="B59" s="5" t="inlineStr">
        <is>
          <t>junio 2018</t>
        </is>
      </c>
      <c r="C59" s="5" t="inlineStr">
        <is>
          <t>A</t>
        </is>
      </c>
      <c r="D59" s="5" t="inlineStr">
        <is>
          <t>0</t>
        </is>
      </c>
      <c r="E59" s="5" t="inlineStr">
        <is>
          <t>HATCH</t>
        </is>
      </c>
      <c r="F59" s="5" t="n">
        <v>12</v>
      </c>
      <c r="G59" s="5" t="n">
        <v>9.17</v>
      </c>
      <c r="H59" s="5" t="n">
        <v>264.3</v>
      </c>
      <c r="I59" s="5" t="n">
        <v>276.34</v>
      </c>
      <c r="J59" s="5" t="n">
        <v>12.03</v>
      </c>
      <c r="K59" s="5" t="n">
        <v>233.12</v>
      </c>
      <c r="L59" s="5" t="n">
        <v>240.08</v>
      </c>
      <c r="M59" s="5" t="n">
        <v>6.96</v>
      </c>
      <c r="N59" s="5" t="inlineStr"/>
    </row>
    <row r="60">
      <c r="A60" s="5" t="inlineStr">
        <is>
          <t>2018-11</t>
        </is>
      </c>
      <c r="B60" s="5" t="inlineStr">
        <is>
          <t>junio 2018</t>
        </is>
      </c>
      <c r="C60" s="5" t="inlineStr">
        <is>
          <t>A</t>
        </is>
      </c>
      <c r="D60" s="5" t="inlineStr">
        <is>
          <t>EROSION-2018</t>
        </is>
      </c>
      <c r="E60" s="5" t="inlineStr">
        <is>
          <t>HATCH+LWPOLYLINE</t>
        </is>
      </c>
      <c r="F60" s="5" t="n">
        <v>4</v>
      </c>
      <c r="G60" s="5" t="n">
        <v>2.68</v>
      </c>
      <c r="H60" s="5" t="n">
        <v>261.32</v>
      </c>
      <c r="I60" s="5" t="n">
        <v>267.21</v>
      </c>
      <c r="J60" s="5" t="n">
        <v>5.89</v>
      </c>
      <c r="K60" s="5" t="n">
        <v>235.23</v>
      </c>
      <c r="L60" s="5" t="n">
        <v>239.99</v>
      </c>
      <c r="M60" s="5" t="n">
        <v>4.76</v>
      </c>
      <c r="N60" s="5" t="inlineStr"/>
    </row>
    <row r="61">
      <c r="A61" s="5" t="inlineStr">
        <is>
          <t>2018-11</t>
        </is>
      </c>
      <c r="B61" s="5" t="inlineStr">
        <is>
          <t>junio 2018</t>
        </is>
      </c>
      <c r="C61" s="5" t="inlineStr">
        <is>
          <t>A</t>
        </is>
      </c>
      <c r="D61" s="5" t="inlineStr">
        <is>
          <t>0</t>
        </is>
      </c>
      <c r="E61" s="5" t="inlineStr">
        <is>
          <t>LWPOLYLINE</t>
        </is>
      </c>
      <c r="F61" s="5" t="n">
        <v>2</v>
      </c>
      <c r="G61" s="5" t="n">
        <v>0</v>
      </c>
      <c r="H61" s="5" t="n">
        <v>272.26</v>
      </c>
      <c r="I61" s="5" t="n">
        <v>282.36</v>
      </c>
      <c r="J61" s="5" t="n">
        <v>10.09</v>
      </c>
      <c r="K61" s="5" t="n">
        <v>228.26</v>
      </c>
      <c r="L61" s="5" t="n">
        <v>230.72</v>
      </c>
      <c r="M61" s="5" t="n">
        <v>2.47</v>
      </c>
      <c r="N61" s="5" t="inlineStr"/>
    </row>
    <row r="62">
      <c r="A62" s="5" t="inlineStr">
        <is>
          <t>2018-11</t>
        </is>
      </c>
      <c r="B62" s="5" t="inlineStr">
        <is>
          <t>junio 2018</t>
        </is>
      </c>
      <c r="C62" s="5" t="inlineStr">
        <is>
          <t>A</t>
        </is>
      </c>
      <c r="D62" s="5" t="inlineStr">
        <is>
          <t>EROSION-2018</t>
        </is>
      </c>
      <c r="E62" s="5" t="inlineStr">
        <is>
          <t>LWPOLYLINE</t>
        </is>
      </c>
      <c r="F62" s="5" t="n">
        <v>2</v>
      </c>
      <c r="G62" s="5" t="n">
        <v>0</v>
      </c>
      <c r="H62" s="5" t="n">
        <v>266.65</v>
      </c>
      <c r="I62" s="5" t="n">
        <v>267.21</v>
      </c>
      <c r="J62" s="5" t="n">
        <v>0.5600000000000001</v>
      </c>
      <c r="K62" s="5" t="n">
        <v>235.23</v>
      </c>
      <c r="L62" s="5" t="n">
        <v>235.23</v>
      </c>
      <c r="M62" s="5" t="n">
        <v>0</v>
      </c>
      <c r="N62" s="5" t="inlineStr"/>
    </row>
    <row r="63">
      <c r="A63" s="5" t="inlineStr">
        <is>
          <t>2018-11</t>
        </is>
      </c>
      <c r="B63" s="5" t="inlineStr">
        <is>
          <t>junio 2018</t>
        </is>
      </c>
      <c r="C63" s="5" t="inlineStr">
        <is>
          <t>B</t>
        </is>
      </c>
      <c r="D63" s="5" t="inlineStr">
        <is>
          <t>0</t>
        </is>
      </c>
      <c r="E63" s="5" t="inlineStr">
        <is>
          <t>HATCH</t>
        </is>
      </c>
      <c r="F63" s="5" t="n">
        <v>14</v>
      </c>
      <c r="G63" s="5" t="n">
        <v>66.08</v>
      </c>
      <c r="H63" s="5" t="n">
        <v>324.25</v>
      </c>
      <c r="I63" s="5" t="n">
        <v>357.99</v>
      </c>
      <c r="J63" s="5" t="n">
        <v>33.74</v>
      </c>
      <c r="K63" s="5" t="n">
        <v>232.54</v>
      </c>
      <c r="L63" s="5" t="n">
        <v>238.35</v>
      </c>
      <c r="M63" s="5" t="n">
        <v>5.81</v>
      </c>
      <c r="N63" s="5" t="inlineStr"/>
    </row>
  </sheetData>
  <autoFilter ref="A4:N6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8" customWidth="1" min="1" max="1"/>
    <col width="15" customWidth="1" min="2" max="2"/>
    <col width="12" customWidth="1" min="3" max="3"/>
    <col width="15" customWidth="1" min="4" max="4"/>
    <col width="12" customWidth="1" min="5" max="5"/>
    <col width="15" customWidth="1" min="6" max="6"/>
  </cols>
  <sheetData>
    <row r="1">
      <c r="A1" s="1" t="inlineStr">
        <is>
          <t>Área de los polígonos dibujados, por corte y plano</t>
        </is>
      </c>
    </row>
    <row r="2">
      <c r="A2" s="9" t="inlineStr">
        <is>
          <t>NO INTERPRETAR COMO EROSIÓN POR PERÍODO: las diferencias son nulas en 4 de los 7 cortes, lo que indica ediciones del dibujo y no una medición entre fechas.</t>
        </is>
      </c>
    </row>
    <row r="3">
      <c r="A3" s="4" t="inlineStr">
        <is>
          <t>Excluye los polígonos de la capa 'texto' (probables anotaciones). Ver hoja 'Hallazgos', punto 4.</t>
        </is>
      </c>
    </row>
    <row r="4">
      <c r="A4" s="3" t="inlineStr">
        <is>
          <t>Corte</t>
        </is>
      </c>
      <c r="B4" s="3" t="inlineStr">
        <is>
          <t>Area_2014_m2</t>
        </is>
      </c>
      <c r="C4" s="3" t="inlineStr">
        <is>
          <t>N_pol_2014</t>
        </is>
      </c>
      <c r="D4" s="3" t="inlineStr">
        <is>
          <t>Area_2018_m2</t>
        </is>
      </c>
      <c r="E4" s="3" t="inlineStr">
        <is>
          <t>N_pol_2018</t>
        </is>
      </c>
      <c r="F4" s="3" t="inlineStr">
        <is>
          <t>Diferencia_m2</t>
        </is>
      </c>
    </row>
    <row r="5">
      <c r="A5" s="7" t="inlineStr">
        <is>
          <t>1</t>
        </is>
      </c>
      <c r="B5" s="5" t="n">
        <v>1924.64</v>
      </c>
      <c r="C5" s="5" t="n">
        <v>6</v>
      </c>
      <c r="D5" s="5" t="n">
        <v>1924.45</v>
      </c>
      <c r="E5" s="5" t="n">
        <v>6</v>
      </c>
      <c r="F5" s="5" t="n">
        <v>-0.2</v>
      </c>
    </row>
    <row r="6">
      <c r="A6" s="7" t="inlineStr">
        <is>
          <t>2</t>
        </is>
      </c>
      <c r="B6" s="5" t="n">
        <v>1079.51</v>
      </c>
      <c r="C6" s="5" t="n">
        <v>4</v>
      </c>
      <c r="D6" s="5" t="n">
        <v>763.51</v>
      </c>
      <c r="E6" s="5" t="n">
        <v>2</v>
      </c>
      <c r="F6" s="5" t="n">
        <v>-316</v>
      </c>
    </row>
    <row r="7">
      <c r="A7" s="7" t="inlineStr">
        <is>
          <t>3</t>
        </is>
      </c>
      <c r="B7" s="5" t="n">
        <v>525.8099999999999</v>
      </c>
      <c r="C7" s="5" t="n">
        <v>4</v>
      </c>
      <c r="D7" s="5" t="n">
        <v>523.9</v>
      </c>
      <c r="E7" s="5" t="n">
        <v>3</v>
      </c>
      <c r="F7" s="5" t="n">
        <v>-1.91</v>
      </c>
    </row>
    <row r="8">
      <c r="A8" s="7" t="inlineStr">
        <is>
          <t>4</t>
        </is>
      </c>
      <c r="B8" s="5" t="n">
        <v>153.08</v>
      </c>
      <c r="C8" s="5" t="n">
        <v>4</v>
      </c>
      <c r="D8" s="5" t="n">
        <v>621.3200000000001</v>
      </c>
      <c r="E8" s="5" t="n">
        <v>7</v>
      </c>
      <c r="F8" s="5" t="n">
        <v>468.24</v>
      </c>
    </row>
    <row r="9">
      <c r="A9" s="7" t="inlineStr">
        <is>
          <t>A</t>
        </is>
      </c>
      <c r="B9" s="5" t="n">
        <v>482.27</v>
      </c>
      <c r="C9" s="5" t="n">
        <v>6</v>
      </c>
      <c r="D9" s="5" t="n">
        <v>543.6</v>
      </c>
      <c r="E9" s="5" t="n">
        <v>11</v>
      </c>
      <c r="F9" s="5" t="n">
        <v>61.33</v>
      </c>
    </row>
    <row r="10">
      <c r="A10" s="7" t="inlineStr">
        <is>
          <t>B</t>
        </is>
      </c>
      <c r="B10" s="5" t="n">
        <v>66.08</v>
      </c>
      <c r="C10" s="5" t="n">
        <v>1</v>
      </c>
      <c r="D10" s="5" t="n">
        <v>66.08</v>
      </c>
      <c r="E10" s="5" t="n">
        <v>1</v>
      </c>
      <c r="F10" s="5" t="n">
        <v>0</v>
      </c>
    </row>
    <row r="11">
      <c r="A11" s="7" t="inlineStr">
        <is>
          <t>C</t>
        </is>
      </c>
      <c r="B11" s="5" t="n">
        <v>0</v>
      </c>
      <c r="C11" s="5" t="n">
        <v>0</v>
      </c>
      <c r="D11" s="5" t="n">
        <v>0</v>
      </c>
      <c r="E11" s="5" t="n">
        <v>0</v>
      </c>
      <c r="F11" s="5" t="n">
        <v>0</v>
      </c>
    </row>
    <row r="12">
      <c r="A12" s="6" t="inlineStr">
        <is>
          <t>TOTAL</t>
        </is>
      </c>
      <c r="B12" s="10">
        <f>SUM(B5:B11)</f>
        <v/>
      </c>
      <c r="D12" s="10">
        <f>SUM(D5:D11)</f>
        <v/>
      </c>
      <c r="F12" s="10">
        <f>SUM(F5:F11)</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6" topLeftCell="A7" activePane="bottomLeft" state="frozen"/>
      <selection pane="bottomLeft" activeCell="A1" sqref="A1"/>
    </sheetView>
  </sheetViews>
  <sheetFormatPr baseColWidth="8" defaultRowHeight="15"/>
  <cols>
    <col width="10" customWidth="1" min="1" max="1"/>
    <col width="10" customWidth="1" min="2" max="2"/>
    <col width="24" customWidth="1" min="3" max="3"/>
    <col width="13" customWidth="1" min="4" max="4"/>
    <col width="13" customWidth="1" min="5" max="5"/>
    <col width="15" customWidth="1" min="6" max="6"/>
    <col width="14" customWidth="1" min="7" max="7"/>
  </cols>
  <sheetData>
    <row r="1">
      <c r="A1" s="1" t="inlineStr">
        <is>
          <t>Volúmenes por el método de áreas medias — PLANTILLA</t>
        </is>
      </c>
    </row>
    <row r="2">
      <c r="A2" s="4" t="inlineStr">
        <is>
          <t>La columna C viene precargada con la distancia RECTA entre los puntos medios de las trazas UTM. Reemplácela por la distancia medida a lo largo del eje del cauce, que es siempre mayor. Las demás columnas se calculan solas.</t>
        </is>
      </c>
    </row>
    <row r="3">
      <c r="A3" s="11" t="inlineStr">
        <is>
          <t>Los cortes están ordenados de aguas abajo hacia aguas arriba según la cota de su thalweg. Confirme este orden con las progresivas reales antes de usarlo.</t>
        </is>
      </c>
    </row>
    <row r="4">
      <c r="A4" s="9" t="inlineStr">
        <is>
          <t>ATENCIÓN: las áreas que toma esta hoja provienen de 'Resumen_erosion', cuya validez como erosión por período NO está confirmada (ver hoja Hallazgos).</t>
        </is>
      </c>
    </row>
    <row r="6">
      <c r="A6" s="3" t="inlineStr">
        <is>
          <t>Corte_A</t>
        </is>
      </c>
      <c r="B6" s="3" t="inlineStr">
        <is>
          <t>Corte_B</t>
        </is>
      </c>
      <c r="C6" s="3" t="inlineStr">
        <is>
          <t>Distancia_m  (INGRESAR)</t>
        </is>
      </c>
      <c r="D6" s="3" t="inlineStr">
        <is>
          <t>Area_A_m2</t>
        </is>
      </c>
      <c r="E6" s="3" t="inlineStr">
        <is>
          <t>Area_B_m2</t>
        </is>
      </c>
      <c r="F6" s="3" t="inlineStr">
        <is>
          <t>Area_media_m2</t>
        </is>
      </c>
      <c r="G6" s="3" t="inlineStr">
        <is>
          <t>Volumen_m3</t>
        </is>
      </c>
    </row>
    <row r="7">
      <c r="A7" s="5" t="inlineStr">
        <is>
          <t>1</t>
        </is>
      </c>
      <c r="B7" s="5" t="inlineStr">
        <is>
          <t>A</t>
        </is>
      </c>
      <c r="C7" s="8" t="n">
        <v>154.3</v>
      </c>
      <c r="D7" s="5">
        <f>IFERROR(VLOOKUP(A7,Resumen_erosion!$A$5:$D$11,4,FALSE),"")</f>
        <v/>
      </c>
      <c r="E7" s="5">
        <f>IFERROR(VLOOKUP(B7,Resumen_erosion!$A$5:$D$11,4,FALSE),"")</f>
        <v/>
      </c>
      <c r="F7" s="5">
        <f>IFERROR((D7+E7)/2,"")</f>
        <v/>
      </c>
      <c r="G7" s="12">
        <f>IFERROR(F7*C7,"")</f>
        <v/>
      </c>
    </row>
    <row r="8">
      <c r="A8" s="5" t="inlineStr">
        <is>
          <t>A</t>
        </is>
      </c>
      <c r="B8" s="5" t="inlineStr">
        <is>
          <t>2</t>
        </is>
      </c>
      <c r="C8" s="8" t="n">
        <v>508</v>
      </c>
      <c r="D8" s="5">
        <f>IFERROR(VLOOKUP(A8,Resumen_erosion!$A$5:$D$11,4,FALSE),"")</f>
        <v/>
      </c>
      <c r="E8" s="5">
        <f>IFERROR(VLOOKUP(B8,Resumen_erosion!$A$5:$D$11,4,FALSE),"")</f>
        <v/>
      </c>
      <c r="F8" s="5">
        <f>IFERROR((D8+E8)/2,"")</f>
        <v/>
      </c>
      <c r="G8" s="12">
        <f>IFERROR(F8*C8,"")</f>
        <v/>
      </c>
    </row>
    <row r="9">
      <c r="A9" s="5" t="inlineStr">
        <is>
          <t>2</t>
        </is>
      </c>
      <c r="B9" s="5" t="inlineStr">
        <is>
          <t>B</t>
        </is>
      </c>
      <c r="C9" s="8" t="n">
        <v>128.9</v>
      </c>
      <c r="D9" s="5">
        <f>IFERROR(VLOOKUP(A9,Resumen_erosion!$A$5:$D$11,4,FALSE),"")</f>
        <v/>
      </c>
      <c r="E9" s="5">
        <f>IFERROR(VLOOKUP(B9,Resumen_erosion!$A$5:$D$11,4,FALSE),"")</f>
        <v/>
      </c>
      <c r="F9" s="5">
        <f>IFERROR((D9+E9)/2,"")</f>
        <v/>
      </c>
      <c r="G9" s="12">
        <f>IFERROR(F9*C9,"")</f>
        <v/>
      </c>
    </row>
    <row r="10">
      <c r="A10" s="5" t="inlineStr">
        <is>
          <t>B</t>
        </is>
      </c>
      <c r="B10" s="5" t="inlineStr">
        <is>
          <t>3</t>
        </is>
      </c>
      <c r="C10" s="8" t="n">
        <v>117</v>
      </c>
      <c r="D10" s="5">
        <f>IFERROR(VLOOKUP(A10,Resumen_erosion!$A$5:$D$11,4,FALSE),"")</f>
        <v/>
      </c>
      <c r="E10" s="5">
        <f>IFERROR(VLOOKUP(B10,Resumen_erosion!$A$5:$D$11,4,FALSE),"")</f>
        <v/>
      </c>
      <c r="F10" s="5">
        <f>IFERROR((D10+E10)/2,"")</f>
        <v/>
      </c>
      <c r="G10" s="12">
        <f>IFERROR(F10*C10,"")</f>
        <v/>
      </c>
    </row>
    <row r="11">
      <c r="A11" s="5" t="inlineStr">
        <is>
          <t>3</t>
        </is>
      </c>
      <c r="B11" s="5" t="inlineStr">
        <is>
          <t>4</t>
        </is>
      </c>
      <c r="C11" s="8" t="n">
        <v>283.7</v>
      </c>
      <c r="D11" s="5">
        <f>IFERROR(VLOOKUP(A11,Resumen_erosion!$A$5:$D$11,4,FALSE),"")</f>
        <v/>
      </c>
      <c r="E11" s="5">
        <f>IFERROR(VLOOKUP(B11,Resumen_erosion!$A$5:$D$11,4,FALSE),"")</f>
        <v/>
      </c>
      <c r="F11" s="5">
        <f>IFERROR((D11+E11)/2,"")</f>
        <v/>
      </c>
      <c r="G11" s="12">
        <f>IFERROR(F11*C11,"")</f>
        <v/>
      </c>
    </row>
    <row r="12">
      <c r="A12" s="5" t="inlineStr">
        <is>
          <t>4</t>
        </is>
      </c>
      <c r="B12" s="5" t="inlineStr">
        <is>
          <t>C</t>
        </is>
      </c>
      <c r="C12" s="8" t="n">
        <v>399.5</v>
      </c>
      <c r="D12" s="5">
        <f>IFERROR(VLOOKUP(A12,Resumen_erosion!$A$5:$D$11,4,FALSE),"")</f>
        <v/>
      </c>
      <c r="E12" s="5">
        <f>IFERROR(VLOOKUP(B12,Resumen_erosion!$A$5:$D$11,4,FALSE),"")</f>
        <v/>
      </c>
      <c r="F12" s="5">
        <f>IFERROR((D12+E12)/2,"")</f>
        <v/>
      </c>
      <c r="G12" s="12">
        <f>IFERROR(F12*C12,"")</f>
        <v/>
      </c>
    </row>
    <row r="13">
      <c r="F13" s="6" t="inlineStr">
        <is>
          <t>TOTAL m³</t>
        </is>
      </c>
      <c r="G13" s="10">
        <f>SUM(G7:G12)</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4"/>
  <sheetViews>
    <sheetView workbookViewId="0">
      <pane ySplit="4" topLeftCell="A5" activePane="bottomLeft" state="frozen"/>
      <selection pane="bottomLeft" activeCell="A1" sqref="A1"/>
    </sheetView>
  </sheetViews>
  <sheetFormatPr baseColWidth="8" defaultRowHeight="15"/>
  <cols>
    <col width="7" customWidth="1" min="1" max="1"/>
    <col width="8" customWidth="1" min="2" max="2"/>
    <col width="14" customWidth="1" min="3" max="3"/>
    <col width="12" customWidth="1" min="4" max="4"/>
    <col width="13" customWidth="1" min="5" max="5"/>
    <col width="12" customWidth="1" min="6" max="6"/>
    <col width="13" customWidth="1" min="7" max="7"/>
    <col width="12" customWidth="1" min="8" max="8"/>
    <col width="13" customWidth="1" min="9" max="9"/>
    <col width="15" customWidth="1" min="10" max="10"/>
    <col width="20" customWidth="1" min="11" max="11"/>
    <col width="18" customWidth="1" min="12" max="12"/>
  </cols>
  <sheetData>
    <row r="1">
      <c r="A1" s="1" t="inlineStr">
        <is>
          <t>Ubicación de los cortes en planta (coordenadas UTM)</t>
        </is>
      </c>
    </row>
    <row r="2">
      <c r="A2" s="4" t="inlineStr">
        <is>
          <t>Extraída de la capa 'corte' de los DWG. Cada corte se identifica por sus dos rótulos de extremo; el punto medio se usa para medir distancias entre cortes.</t>
        </is>
      </c>
    </row>
    <row r="4">
      <c r="A4" s="3" t="inlineStr">
        <is>
          <t>Orden</t>
        </is>
      </c>
      <c r="B4" s="3" t="inlineStr">
        <is>
          <t>Corte</t>
        </is>
      </c>
      <c r="C4" s="3" t="inlineStr">
        <is>
          <t>Thalweg_msnm</t>
        </is>
      </c>
      <c r="D4" s="3" t="inlineStr">
        <is>
          <t>X_ini</t>
        </is>
      </c>
      <c r="E4" s="3" t="inlineStr">
        <is>
          <t>Y_ini</t>
        </is>
      </c>
      <c r="F4" s="3" t="inlineStr">
        <is>
          <t>X_fin</t>
        </is>
      </c>
      <c r="G4" s="3" t="inlineStr">
        <is>
          <t>Y_fin</t>
        </is>
      </c>
      <c r="H4" s="3" t="inlineStr">
        <is>
          <t>X_medio</t>
        </is>
      </c>
      <c r="I4" s="3" t="inlineStr">
        <is>
          <t>Y_medio</t>
        </is>
      </c>
      <c r="J4" s="3" t="inlineStr">
        <is>
          <t>Largo_traza_m</t>
        </is>
      </c>
      <c r="K4" s="3" t="inlineStr">
        <is>
          <t>Dist_al_siguiente_m</t>
        </is>
      </c>
      <c r="L4" s="3" t="inlineStr">
        <is>
          <t>Progresiva_acum_m</t>
        </is>
      </c>
    </row>
    <row r="5">
      <c r="A5" s="5" t="n">
        <v>1</v>
      </c>
      <c r="B5" s="7" t="inlineStr">
        <is>
          <t>1</t>
        </is>
      </c>
      <c r="C5" s="5" t="n">
        <v>225.69</v>
      </c>
      <c r="D5" s="5" t="n">
        <v>709075.12</v>
      </c>
      <c r="E5" s="5" t="n">
        <v>5412052.39</v>
      </c>
      <c r="F5" s="5" t="n">
        <v>709408.41</v>
      </c>
      <c r="G5" s="5" t="n">
        <v>5411569.4</v>
      </c>
      <c r="H5" s="5" t="n">
        <v>709241.76</v>
      </c>
      <c r="I5" s="5" t="n">
        <v>5411810.9</v>
      </c>
      <c r="J5" s="5" t="n">
        <v>586.8</v>
      </c>
      <c r="K5" s="5" t="n">
        <v>154.3</v>
      </c>
      <c r="L5" s="5" t="n">
        <v>0</v>
      </c>
    </row>
    <row r="6">
      <c r="A6" s="5" t="n">
        <v>2</v>
      </c>
      <c r="B6" s="7" t="inlineStr">
        <is>
          <t>A</t>
        </is>
      </c>
      <c r="C6" s="5" t="n">
        <v>227.21</v>
      </c>
      <c r="D6" s="5" t="n">
        <v>709129.04</v>
      </c>
      <c r="E6" s="5" t="n">
        <v>5412262.43</v>
      </c>
      <c r="F6" s="5" t="n">
        <v>709562.64</v>
      </c>
      <c r="G6" s="5" t="n">
        <v>5411587.14</v>
      </c>
      <c r="H6" s="5" t="n">
        <v>709345.84</v>
      </c>
      <c r="I6" s="5" t="n">
        <v>5411924.79</v>
      </c>
      <c r="J6" s="5" t="n">
        <v>802.5</v>
      </c>
      <c r="K6" s="5" t="n">
        <v>508</v>
      </c>
      <c r="L6" s="5" t="n">
        <v>154.3</v>
      </c>
    </row>
    <row r="7">
      <c r="A7" s="5" t="n">
        <v>3</v>
      </c>
      <c r="B7" s="7" t="inlineStr">
        <is>
          <t>2</t>
        </is>
      </c>
      <c r="C7" s="5" t="n">
        <v>231.35</v>
      </c>
      <c r="D7" s="5" t="n">
        <v>709768.58</v>
      </c>
      <c r="E7" s="5" t="n">
        <v>5412092.55</v>
      </c>
      <c r="F7" s="5" t="n">
        <v>709938.45</v>
      </c>
      <c r="G7" s="5" t="n">
        <v>5411793.61</v>
      </c>
      <c r="H7" s="5" t="n">
        <v>709853.52</v>
      </c>
      <c r="I7" s="5" t="n">
        <v>5411943.08</v>
      </c>
      <c r="J7" s="5" t="n">
        <v>343.8</v>
      </c>
      <c r="K7" s="5" t="n">
        <v>128.9</v>
      </c>
      <c r="L7" s="5" t="n">
        <v>662.3</v>
      </c>
    </row>
    <row r="8">
      <c r="A8" s="5" t="n">
        <v>4</v>
      </c>
      <c r="B8" s="7" t="inlineStr">
        <is>
          <t>B</t>
        </is>
      </c>
      <c r="C8" s="5" t="n">
        <v>232.62</v>
      </c>
      <c r="D8" s="5" t="n">
        <v>710050.29</v>
      </c>
      <c r="E8" s="5" t="n">
        <v>5411863.02</v>
      </c>
      <c r="F8" s="5" t="n">
        <v>709840.23</v>
      </c>
      <c r="G8" s="5" t="n">
        <v>5412204.17</v>
      </c>
      <c r="H8" s="5" t="n">
        <v>709945.26</v>
      </c>
      <c r="I8" s="5" t="n">
        <v>5412033.6</v>
      </c>
      <c r="J8" s="5" t="n">
        <v>400.6</v>
      </c>
      <c r="K8" s="5" t="n">
        <v>117</v>
      </c>
      <c r="L8" s="5" t="n">
        <v>791.2</v>
      </c>
    </row>
    <row r="9">
      <c r="A9" s="5" t="n">
        <v>5</v>
      </c>
      <c r="B9" s="7" t="inlineStr">
        <is>
          <t>3</t>
        </is>
      </c>
      <c r="C9" s="5" t="n">
        <v>235.06</v>
      </c>
      <c r="D9" s="5" t="n">
        <v>709907.5600000001</v>
      </c>
      <c r="E9" s="5" t="n">
        <v>5412287.18</v>
      </c>
      <c r="F9" s="5" t="n">
        <v>710179.1800000001</v>
      </c>
      <c r="G9" s="5" t="n">
        <v>5411907.45</v>
      </c>
      <c r="H9" s="5" t="n">
        <v>710043.37</v>
      </c>
      <c r="I9" s="5" t="n">
        <v>5412097.32</v>
      </c>
      <c r="J9" s="5" t="n">
        <v>466.9</v>
      </c>
      <c r="K9" s="5" t="n">
        <v>283.7</v>
      </c>
      <c r="L9" s="5" t="n">
        <v>908.2</v>
      </c>
    </row>
    <row r="10">
      <c r="A10" s="5" t="n">
        <v>6</v>
      </c>
      <c r="B10" s="7" t="inlineStr">
        <is>
          <t>4</t>
        </is>
      </c>
      <c r="C10" s="5" t="n">
        <v>239.81</v>
      </c>
      <c r="D10" s="5" t="n">
        <v>710256.16</v>
      </c>
      <c r="E10" s="5" t="n">
        <v>5412315.06</v>
      </c>
      <c r="F10" s="5" t="n">
        <v>710385.74</v>
      </c>
      <c r="G10" s="5" t="n">
        <v>5411996.86</v>
      </c>
      <c r="H10" s="5" t="n">
        <v>710320.95</v>
      </c>
      <c r="I10" s="5" t="n">
        <v>5412155.96</v>
      </c>
      <c r="J10" s="5" t="n">
        <v>343.6</v>
      </c>
      <c r="K10" s="5" t="n">
        <v>399.5</v>
      </c>
      <c r="L10" s="5" t="n">
        <v>1191.9</v>
      </c>
    </row>
    <row r="11">
      <c r="A11" s="5" t="n">
        <v>7</v>
      </c>
      <c r="B11" s="7" t="inlineStr">
        <is>
          <t>C</t>
        </is>
      </c>
      <c r="C11" s="5" t="n">
        <v>243.62</v>
      </c>
      <c r="D11" s="5" t="n">
        <v>710373.23</v>
      </c>
      <c r="E11" s="5" t="n">
        <v>5412610.21</v>
      </c>
      <c r="F11" s="5" t="n">
        <v>710528.49</v>
      </c>
      <c r="G11" s="5" t="n">
        <v>5412457.29</v>
      </c>
      <c r="H11" s="5" t="n">
        <v>710450.86</v>
      </c>
      <c r="I11" s="5" t="n">
        <v>5412533.75</v>
      </c>
      <c r="J11" s="5" t="n">
        <v>217.9</v>
      </c>
      <c r="K11" s="5" t="n"/>
      <c r="L11" s="5" t="n">
        <v>1591.4</v>
      </c>
    </row>
    <row r="13">
      <c r="A13" s="4" t="inlineStr">
        <is>
          <t>Orden 1 = aguas abajo (desembocadura en el lago), deducido de la cota del thalweg. La progresión espacial de las coordenadas UTM es coherente con ese orden, lo que lo corrobora de forma independiente.</t>
        </is>
      </c>
    </row>
    <row r="14">
      <c r="A14" s="4" t="inlineStr">
        <is>
          <t>Las distancias son en línea recta entre puntos medios. La distancia real a lo largo del cauce es mayor; úsela para los volúmenes definitivos.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B47"/>
  <sheetViews>
    <sheetView workbookViewId="0">
      <selection activeCell="A1" sqref="A1"/>
    </sheetView>
  </sheetViews>
  <sheetFormatPr baseColWidth="8" defaultRowHeight="15"/>
  <cols>
    <col width="4" customWidth="1" min="1" max="1"/>
    <col width="110" customWidth="1" min="2" max="2"/>
  </cols>
  <sheetData>
    <row r="2">
      <c r="B2" s="1" t="inlineStr">
        <is>
          <t>Hallazgos derivados de los datos extraídos</t>
        </is>
      </c>
    </row>
    <row r="4">
      <c r="B4" t="inlineStr"/>
    </row>
    <row r="5">
      <c r="B5" s="2" t="inlineStr">
        <is>
          <t>1. ORDEN LONGITUDINAL DE LOS CORTES  (deducido, no leído del plano)</t>
        </is>
      </c>
    </row>
    <row r="6">
      <c r="B6" t="inlineStr">
        <is>
          <t>Ordenando por la cota del thalweg resulta, de aguas abajo a aguas arriba:</t>
        </is>
      </c>
    </row>
    <row r="7">
      <c r="B7" s="13" t="inlineStr">
        <is>
          <t xml:space="preserve">      1 (225.69)  -&gt;  A (227.21)  -&gt;  2 (231.35)  -&gt;  B (232.62)  -&gt;  3 (235.06)  -&gt;  4 (239.81)  -&gt;  C (243.62)</t>
        </is>
      </c>
    </row>
    <row r="8">
      <c r="B8" t="inlineStr">
        <is>
          <t>El agua corre cuesta abajo, luego el corte con el fondo más bajo es el más cercano a</t>
        </is>
      </c>
    </row>
    <row r="9">
      <c r="B9" t="inlineStr">
        <is>
          <t>la desembocadura en el lago. Este orden debe confirmarse contra las progresivas reales,</t>
        </is>
      </c>
    </row>
    <row r="10">
      <c r="B10" t="inlineStr">
        <is>
          <t>pero es consistente y permite ordenar el análisis longitudinal.</t>
        </is>
      </c>
    </row>
    <row r="11">
      <c r="B11" t="inlineStr"/>
    </row>
    <row r="12">
      <c r="B12" s="2" t="inlineStr">
        <is>
          <t>2. SOLO DOS CORTES TIENEN EL LECHO BAJO EL NIVEL MÍNIMO DEL LAGO</t>
        </is>
      </c>
    </row>
    <row r="13">
      <c r="B13" s="13" t="inlineStr">
        <is>
          <t>Cortes con thalweg bajo la cota 230 m.s.n.m.: 1, A.</t>
        </is>
      </c>
    </row>
    <row r="14">
      <c r="B14" t="inlineStr">
        <is>
          <t>Son los dos cortes más cercanos a la desembocadura. El resto tiene el fondo por encima</t>
        </is>
      </c>
    </row>
    <row r="15">
      <c r="B15" t="inlineStr">
        <is>
          <t>de 231 m.s.n.m., la cota mínima provisional ordenada por el Tercer Tribunal Ambiental.</t>
        </is>
      </c>
    </row>
    <row r="16">
      <c r="B16" t="inlineStr">
        <is>
          <t>Lectura: son precisamente los cortes situados en la zona de influencia del abatimiento</t>
        </is>
      </c>
    </row>
    <row r="17">
      <c r="B17" t="inlineStr">
        <is>
          <t>del lago, que es donde el informe de INGETEC sitúa la incisión por erosión</t>
        </is>
      </c>
    </row>
    <row r="18">
      <c r="B18" t="inlineStr">
        <is>
          <t>retrogradante. La geometría extraída es coherente con ese mecanismo.</t>
        </is>
      </c>
    </row>
    <row r="19">
      <c r="B19" t="inlineStr"/>
    </row>
    <row r="20">
      <c r="B20" s="2" t="inlineStr">
        <is>
          <t>3. GRADIENTE DE RELIEVE HACIA LA DESEMBOCADURA</t>
        </is>
      </c>
    </row>
    <row r="21">
      <c r="B21" t="inlineStr">
        <is>
          <t>El relieve de la sección (cota máxima menos mínima) crece hacia aguas abajo:</t>
        </is>
      </c>
    </row>
    <row r="22">
      <c r="B22" s="13" t="inlineStr">
        <is>
          <t xml:space="preserve">      1=14.2 m   A=14.4 m   2=12.5 m   B=12.6 m   3=10.2 m   4=6.7 m   C=5.6 m</t>
        </is>
      </c>
    </row>
    <row r="23">
      <c r="B23" t="inlineStr">
        <is>
          <t>Secciones más encajonadas aguas abajo y más someras aguas arriba, compatible con un</t>
        </is>
      </c>
    </row>
    <row r="24">
      <c r="B24" t="inlineStr">
        <is>
          <t>cauce que ha profundizado en su tramo final.</t>
        </is>
      </c>
    </row>
    <row r="25">
      <c r="B25" t="inlineStr"/>
    </row>
    <row r="26">
      <c r="B26" s="2" t="inlineStr">
        <is>
          <t>4. LOS POLÍGONOS DIBUJADOS NO SIRVEN COMO EROSIÓN POR PERÍODO</t>
        </is>
      </c>
    </row>
    <row r="27">
      <c r="B27" t="inlineStr">
        <is>
          <t>Comparando los dos planos, el área de los polígonos es prácticamente idéntica en los</t>
        </is>
      </c>
    </row>
    <row r="28">
      <c r="B28" t="inlineStr">
        <is>
          <t>cortes 1, 3, B y C (diferencias de 0 a 2 m² sobre cientos de m²), y solo difiere en</t>
        </is>
      </c>
    </row>
    <row r="29">
      <c r="B29" t="inlineStr">
        <is>
          <t>los cortes 2, 4 y A. Ese patrón corresponde a ediciones del dibujo, no a una medición</t>
        </is>
      </c>
    </row>
    <row r="30">
      <c r="B30" t="inlineStr">
        <is>
          <t>de erosión entre dos fechas. Si fueran erosión acumulada, se esperaría un aumento</t>
        </is>
      </c>
    </row>
    <row r="31">
      <c r="B31" t="inlineStr">
        <is>
          <t>sistemático en todos los cortes.</t>
        </is>
      </c>
    </row>
    <row r="32">
      <c r="B32" t="inlineStr">
        <is>
          <t>Conclusión: estas áreas se entregan inventariadas y auditables, pero NO deben usarse</t>
        </is>
      </c>
    </row>
    <row r="33">
      <c r="B33" t="inlineStr">
        <is>
          <t>como variación de volumen sin confirmar su significado con el autor del plano.</t>
        </is>
      </c>
    </row>
    <row r="34">
      <c r="B34" t="inlineStr"/>
    </row>
    <row r="35">
      <c r="B35" s="2" t="inlineStr">
        <is>
          <t>5. LO QUE FALTA PARA CERRAR EL ANÁLISIS DE VOLUMEN</t>
        </is>
      </c>
    </row>
    <row r="36">
      <c r="B36" t="inlineStr">
        <is>
          <t>Se necesita una de estas dos cosas:</t>
        </is>
      </c>
    </row>
    <row r="37">
      <c r="B37" t="inlineStr">
        <is>
          <t xml:space="preserve">   (a) los perfiles crudos de cada campaña (2009, 2011, 2014, 2018) como series de</t>
        </is>
      </c>
    </row>
    <row r="38">
      <c r="B38" t="inlineStr">
        <is>
          <t xml:space="preserve">       puntos independientes, o</t>
        </is>
      </c>
    </row>
    <row r="39">
      <c r="B39" t="inlineStr">
        <is>
          <t xml:space="preserve">   (b) las superficies topográficas de cada año como capas separadas.</t>
        </is>
      </c>
    </row>
    <row r="40">
      <c r="B40" t="inlineStr">
        <is>
          <t>Los DWG revisados contienen una sola geometría de terreno por corte, repetida en ambos</t>
        </is>
      </c>
    </row>
    <row r="41">
      <c r="B41" t="inlineStr">
        <is>
          <t>planos. Las capas de curvas de nivel (CONT-*) se solapan entre 88% y 94%, es decir son</t>
        </is>
      </c>
    </row>
    <row r="42">
      <c r="B42" t="inlineStr">
        <is>
          <t>duplicados de una misma superficie y no épocas distintas.</t>
        </is>
      </c>
    </row>
    <row r="43">
      <c r="B43" t="inlineStr"/>
    </row>
    <row r="44">
      <c r="B44" s="2" t="inlineStr">
        <is>
          <t>6. DATO ADICIONAL ÚTIL YA DISPONIBLE</t>
        </is>
      </c>
    </row>
    <row r="45">
      <c r="B45" t="inlineStr">
        <is>
          <t>Las progresivas de los cortes se pueden medir directamente: las trazas en planta están</t>
        </is>
      </c>
    </row>
    <row r="46">
      <c r="B46" t="inlineStr">
        <is>
          <t>en coordenadas UTM en la capa 'corte' de los mismos DWG. Con ellas se completa la</t>
        </is>
      </c>
    </row>
    <row r="47">
      <c r="B47" t="inlineStr">
        <is>
          <t>columna de distancias de la hoja 'Volumenes' sin necesidad de trabajo de campo.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18" customWidth="1" min="3" max="3"/>
    <col width="16" customWidth="1" min="4" max="4"/>
    <col width="14" customWidth="1" min="5" max="5"/>
    <col width="14" customWidth="1" min="6" max="6"/>
    <col width="16" customWidth="1" min="7" max="7"/>
    <col width="18" customWidth="1" min="8" max="8"/>
  </cols>
  <sheetData>
    <row r="1">
      <c r="A1" s="1" t="inlineStr">
        <is>
          <t>Evidencia de calibración de escalas (auditable)</t>
        </is>
      </c>
    </row>
    <row r="2">
      <c r="A2" s="4" t="inlineStr">
        <is>
          <t>La escala vertical se ajustó por mínimos cuadrados sobre las etiquetas del eje de cotas de cada gráfico. Un valor cercano a 10.00 u/m confirma la exageración ×10.</t>
        </is>
      </c>
    </row>
    <row r="4">
      <c r="A4" s="3" t="inlineStr">
        <is>
          <t>Plano</t>
        </is>
      </c>
      <c r="B4" s="3" t="inlineStr">
        <is>
          <t>Corte</t>
        </is>
      </c>
      <c r="C4" s="3" t="inlineStr">
        <is>
          <t>Escala_V_u_por_m</t>
        </is>
      </c>
      <c r="D4" s="3" t="inlineStr">
        <is>
          <t>N_etiquetas_eje</t>
        </is>
      </c>
      <c r="E4" s="3" t="inlineStr">
        <is>
          <t>Residuo_max_u</t>
        </is>
      </c>
      <c r="F4" s="3" t="inlineStr">
        <is>
          <t>Residuo_max_m</t>
        </is>
      </c>
      <c r="G4" s="3" t="inlineStr">
        <is>
          <t>Escala_H_u_por_m</t>
        </is>
      </c>
      <c r="H4" s="3" t="inlineStr">
        <is>
          <t>Exageracion_vertical</t>
        </is>
      </c>
    </row>
    <row r="5">
      <c r="A5" s="5" t="inlineStr">
        <is>
          <t>2014-01</t>
        </is>
      </c>
      <c r="B5" s="5" t="inlineStr">
        <is>
          <t>1</t>
        </is>
      </c>
      <c r="C5" s="5" t="n">
        <v>10.0548</v>
      </c>
      <c r="D5" s="5" t="n">
        <v>5</v>
      </c>
      <c r="E5" s="5" t="n">
        <v>0.438</v>
      </c>
      <c r="F5" s="5" t="n">
        <v>0.0436</v>
      </c>
      <c r="G5" s="5" t="n">
        <v>1</v>
      </c>
      <c r="H5" s="5" t="n">
        <v>10.05</v>
      </c>
    </row>
    <row r="6">
      <c r="A6" s="5" t="inlineStr">
        <is>
          <t>2014-01</t>
        </is>
      </c>
      <c r="B6" s="5" t="inlineStr">
        <is>
          <t>2</t>
        </is>
      </c>
      <c r="C6" s="5" t="n">
        <v>9.9716</v>
      </c>
      <c r="D6" s="5" t="n">
        <v>5</v>
      </c>
      <c r="E6" s="5" t="n">
        <v>0.228</v>
      </c>
      <c r="F6" s="5" t="n">
        <v>0.0228</v>
      </c>
      <c r="G6" s="5" t="n">
        <v>1</v>
      </c>
      <c r="H6" s="5" t="n">
        <v>9.970000000000001</v>
      </c>
    </row>
    <row r="7">
      <c r="A7" s="5" t="inlineStr">
        <is>
          <t>2014-01</t>
        </is>
      </c>
      <c r="B7" s="5" t="inlineStr">
        <is>
          <t>3</t>
        </is>
      </c>
      <c r="C7" s="5" t="n">
        <v>10.0107</v>
      </c>
      <c r="D7" s="5" t="n">
        <v>4</v>
      </c>
      <c r="E7" s="5" t="n">
        <v>0.057</v>
      </c>
      <c r="F7" s="5" t="n">
        <v>0.0057</v>
      </c>
      <c r="G7" s="5" t="n">
        <v>1</v>
      </c>
      <c r="H7" s="5" t="n">
        <v>10.01</v>
      </c>
    </row>
    <row r="8">
      <c r="A8" s="5" t="inlineStr">
        <is>
          <t>2014-01</t>
        </is>
      </c>
      <c r="B8" s="5" t="inlineStr">
        <is>
          <t>4</t>
        </is>
      </c>
      <c r="C8" s="5" t="n">
        <v>9.991</v>
      </c>
      <c r="D8" s="5" t="n">
        <v>3</v>
      </c>
      <c r="E8" s="5" t="n">
        <v>0.027</v>
      </c>
      <c r="F8" s="5" t="n">
        <v>0.0027</v>
      </c>
      <c r="G8" s="5" t="n">
        <v>1</v>
      </c>
      <c r="H8" s="5" t="n">
        <v>9.99</v>
      </c>
    </row>
    <row r="9">
      <c r="A9" s="5" t="inlineStr">
        <is>
          <t>2014-01</t>
        </is>
      </c>
      <c r="B9" s="5" t="inlineStr">
        <is>
          <t>A</t>
        </is>
      </c>
      <c r="C9" s="5" t="n">
        <v>10.0284</v>
      </c>
      <c r="D9" s="5" t="n">
        <v>5</v>
      </c>
      <c r="E9" s="5" t="n">
        <v>0.227</v>
      </c>
      <c r="F9" s="5" t="n">
        <v>0.0227</v>
      </c>
      <c r="G9" s="5" t="n">
        <v>1</v>
      </c>
      <c r="H9" s="5" t="n">
        <v>10.03</v>
      </c>
    </row>
    <row r="10">
      <c r="A10" s="5" t="inlineStr">
        <is>
          <t>2014-01</t>
        </is>
      </c>
      <c r="B10" s="5" t="inlineStr">
        <is>
          <t>B</t>
        </is>
      </c>
      <c r="C10" s="5" t="n">
        <v>9.9855</v>
      </c>
      <c r="D10" s="5" t="n">
        <v>5</v>
      </c>
      <c r="E10" s="5" t="n">
        <v>0.116</v>
      </c>
      <c r="F10" s="5" t="n">
        <v>0.0116</v>
      </c>
      <c r="G10" s="5" t="n">
        <v>1</v>
      </c>
      <c r="H10" s="5" t="n">
        <v>9.99</v>
      </c>
    </row>
    <row r="11">
      <c r="A11" s="5" t="inlineStr">
        <is>
          <t>2014-01</t>
        </is>
      </c>
      <c r="B11" s="5" t="inlineStr">
        <is>
          <t>C</t>
        </is>
      </c>
      <c r="C11" s="5" t="n">
        <v>9.9514</v>
      </c>
      <c r="D11" s="5" t="n">
        <v>2</v>
      </c>
      <c r="E11" s="5" t="n">
        <v>0</v>
      </c>
      <c r="F11" s="5" t="n">
        <v>0</v>
      </c>
      <c r="G11" s="5" t="n">
        <v>1</v>
      </c>
      <c r="H11" s="5" t="n">
        <v>9.949999999999999</v>
      </c>
    </row>
    <row r="12">
      <c r="A12" s="5" t="inlineStr">
        <is>
          <t>2018-11</t>
        </is>
      </c>
      <c r="B12" s="5" t="inlineStr">
        <is>
          <t>1</t>
        </is>
      </c>
      <c r="C12" s="5" t="n">
        <v>10.0548</v>
      </c>
      <c r="D12" s="5" t="n">
        <v>5</v>
      </c>
      <c r="E12" s="5" t="n">
        <v>0.438</v>
      </c>
      <c r="F12" s="5" t="n">
        <v>0.0436</v>
      </c>
      <c r="G12" s="5" t="n">
        <v>1</v>
      </c>
      <c r="H12" s="5" t="n">
        <v>10.05</v>
      </c>
    </row>
    <row r="13">
      <c r="A13" s="5" t="inlineStr">
        <is>
          <t>2018-11</t>
        </is>
      </c>
      <c r="B13" s="5" t="inlineStr">
        <is>
          <t>2</t>
        </is>
      </c>
      <c r="C13" s="5" t="n">
        <v>9.9716</v>
      </c>
      <c r="D13" s="5" t="n">
        <v>5</v>
      </c>
      <c r="E13" s="5" t="n">
        <v>0.228</v>
      </c>
      <c r="F13" s="5" t="n">
        <v>0.0228</v>
      </c>
      <c r="G13" s="5" t="n">
        <v>1</v>
      </c>
      <c r="H13" s="5" t="n">
        <v>9.970000000000001</v>
      </c>
    </row>
    <row r="14">
      <c r="A14" s="5" t="inlineStr">
        <is>
          <t>2018-11</t>
        </is>
      </c>
      <c r="B14" s="5" t="inlineStr">
        <is>
          <t>3</t>
        </is>
      </c>
      <c r="C14" s="5" t="n">
        <v>10.0107</v>
      </c>
      <c r="D14" s="5" t="n">
        <v>4</v>
      </c>
      <c r="E14" s="5" t="n">
        <v>0.057</v>
      </c>
      <c r="F14" s="5" t="n">
        <v>0.0057</v>
      </c>
      <c r="G14" s="5" t="n">
        <v>1</v>
      </c>
      <c r="H14" s="5" t="n">
        <v>10.01</v>
      </c>
    </row>
    <row r="15">
      <c r="A15" s="5" t="inlineStr">
        <is>
          <t>2018-11</t>
        </is>
      </c>
      <c r="B15" s="5" t="inlineStr">
        <is>
          <t>4</t>
        </is>
      </c>
      <c r="C15" s="5" t="n">
        <v>9.991</v>
      </c>
      <c r="D15" s="5" t="n">
        <v>3</v>
      </c>
      <c r="E15" s="5" t="n">
        <v>0.027</v>
      </c>
      <c r="F15" s="5" t="n">
        <v>0.0027</v>
      </c>
      <c r="G15" s="5" t="n">
        <v>1</v>
      </c>
      <c r="H15" s="5" t="n">
        <v>9.99</v>
      </c>
    </row>
    <row r="16">
      <c r="A16" s="5" t="inlineStr">
        <is>
          <t>2018-11</t>
        </is>
      </c>
      <c r="B16" s="5" t="inlineStr">
        <is>
          <t>A</t>
        </is>
      </c>
      <c r="C16" s="5" t="n">
        <v>10.0284</v>
      </c>
      <c r="D16" s="5" t="n">
        <v>5</v>
      </c>
      <c r="E16" s="5" t="n">
        <v>0.227</v>
      </c>
      <c r="F16" s="5" t="n">
        <v>0.0227</v>
      </c>
      <c r="G16" s="5" t="n">
        <v>1</v>
      </c>
      <c r="H16" s="5" t="n">
        <v>10.03</v>
      </c>
    </row>
    <row r="17">
      <c r="A17" s="5" t="inlineStr">
        <is>
          <t>2018-11</t>
        </is>
      </c>
      <c r="B17" s="5" t="inlineStr">
        <is>
          <t>B</t>
        </is>
      </c>
      <c r="C17" s="5" t="n">
        <v>9.9855</v>
      </c>
      <c r="D17" s="5" t="n">
        <v>5</v>
      </c>
      <c r="E17" s="5" t="n">
        <v>0.116</v>
      </c>
      <c r="F17" s="5" t="n">
        <v>0.0116</v>
      </c>
      <c r="G17" s="5" t="n">
        <v>1</v>
      </c>
      <c r="H17" s="5" t="n">
        <v>9.99</v>
      </c>
    </row>
    <row r="18">
      <c r="A18" s="5" t="inlineStr">
        <is>
          <t>2018-11</t>
        </is>
      </c>
      <c r="B18" s="5" t="inlineStr">
        <is>
          <t>C</t>
        </is>
      </c>
      <c r="C18" s="5" t="n">
        <v>9.9514</v>
      </c>
      <c r="D18" s="5" t="n">
        <v>2</v>
      </c>
      <c r="E18" s="5" t="n">
        <v>0</v>
      </c>
      <c r="F18" s="5" t="n">
        <v>0</v>
      </c>
      <c r="G18" s="5" t="n">
        <v>1</v>
      </c>
      <c r="H18" s="5" t="n">
        <v>9.949999999999999</v>
      </c>
    </row>
    <row r="20">
      <c r="A20" s="4" t="inlineStr">
        <is>
          <t>Escala horizontal verificada de forma independiente: el gráfico del corte 1 mide 625.9 u de ancho y la traza del corte en planta mide 626 m en UTM.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2026-08-13T21:54:06Z</dcterms:created>
  <dcterms:modified xsi:type="dcterms:W3CDTF">2026-08-13T21:54:06Z</dcterms:modified>
</cp:coreProperties>
</file>